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2"/>
  <workbookPr/>
  <mc:AlternateContent xmlns:mc="http://schemas.openxmlformats.org/markup-compatibility/2006">
    <mc:Choice Requires="x15">
      <x15ac:absPath xmlns:x15ac="http://schemas.microsoft.com/office/spreadsheetml/2010/11/ac" url="/Users/matt/Desktop/YT/0729-aionui/demo-assets/"/>
    </mc:Choice>
  </mc:AlternateContent>
  <xr:revisionPtr revIDLastSave="0" documentId="13_ncr:1_{7FF320C6-57E8-9546-B086-F599393E12F3}" xr6:coauthVersionLast="47" xr6:coauthVersionMax="47" xr10:uidLastSave="{00000000-0000-0000-0000-000000000000}"/>
  <bookViews>
    <workbookView xWindow="0" yWindow="780" windowWidth="36000" windowHeight="21280" activeTab="3" xr2:uid="{00000000-000D-0000-FFFF-FFFF00000000}"/>
  </bookViews>
  <sheets>
    <sheet name="Sheet1" sheetId="1" r:id="rId1"/>
    <sheet name="数据透视表" sheetId="2" r:id="rId2"/>
    <sheet name="汇总" sheetId="3" r:id="rId3"/>
    <sheet name="分析看板" sheetId="4" r:id="rId4"/>
  </sheet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H3" i="3"/>
  <c r="E3" i="3"/>
  <c r="B3" i="3"/>
  <c r="H2" i="3"/>
  <c r="E2" i="3"/>
  <c r="B2" i="3"/>
  <c r="I175" i="1"/>
  <c r="I167" i="1"/>
  <c r="I144" i="1"/>
  <c r="E5" i="3" s="1"/>
  <c r="I129" i="1"/>
  <c r="E4" i="3" s="1"/>
  <c r="I106" i="1"/>
  <c r="H4" i="3" s="1"/>
  <c r="I63" i="1"/>
  <c r="I61" i="1"/>
  <c r="I18" i="1"/>
  <c r="C4" i="4"/>
  <c r="A4" i="4"/>
  <c r="B4" i="3" l="1"/>
  <c r="E4" i="4"/>
</calcChain>
</file>

<file path=xl/sharedStrings.xml><?xml version="1.0" encoding="utf-8"?>
<sst xmlns="http://schemas.openxmlformats.org/spreadsheetml/2006/main" count="958" uniqueCount="223">
  <si>
    <t>Q2 销售分析看板</t>
  </si>
  <si>
    <t>本季度总销售额</t>
  </si>
  <si>
    <t>总订单数</t>
  </si>
  <si>
    <t>客单价</t>
  </si>
  <si>
    <t>订单日期</t>
  </si>
  <si>
    <t>订单号</t>
  </si>
  <si>
    <t>城市</t>
  </si>
  <si>
    <t>销售渠道</t>
  </si>
  <si>
    <t>产品名称</t>
  </si>
  <si>
    <t>类别</t>
  </si>
  <si>
    <t>数量</t>
  </si>
  <si>
    <t>单价</t>
  </si>
  <si>
    <t>销售额</t>
  </si>
  <si>
    <t>备注</t>
  </si>
  <si>
    <t>SO20357</t>
  </si>
  <si>
    <t>上海</t>
  </si>
  <si>
    <t>天猫</t>
  </si>
  <si>
    <t>空气净化器S1</t>
  </si>
  <si>
    <t>家电</t>
  </si>
  <si>
    <t>SO20365</t>
  </si>
  <si>
    <t>深圳</t>
  </si>
  <si>
    <t>抖音</t>
  </si>
  <si>
    <t>智能手表ProX</t>
  </si>
  <si>
    <t>数码</t>
  </si>
  <si>
    <t>SO20263</t>
  </si>
  <si>
    <t>杭州</t>
  </si>
  <si>
    <t>官网</t>
  </si>
  <si>
    <t>无线耳机Air</t>
  </si>
  <si>
    <t>SO20281</t>
  </si>
  <si>
    <t>SO20340</t>
  </si>
  <si>
    <t>成都</t>
  </si>
  <si>
    <t>电动升降桌</t>
  </si>
  <si>
    <t>家居</t>
  </si>
  <si>
    <t>赠品订单</t>
  </si>
  <si>
    <t>SO20352</t>
  </si>
  <si>
    <t>人体工学椅</t>
  </si>
  <si>
    <t>SO20299</t>
  </si>
  <si>
    <t>SO20307</t>
  </si>
  <si>
    <t>SO20342</t>
  </si>
  <si>
    <t>SO20323</t>
  </si>
  <si>
    <t>便携咖啡机</t>
  </si>
  <si>
    <t>SO20334</t>
  </si>
  <si>
    <t>北京</t>
  </si>
  <si>
    <t>SO20276</t>
  </si>
  <si>
    <t>SO20285</t>
  </si>
  <si>
    <t>线下门店</t>
  </si>
  <si>
    <t>SO20327</t>
  </si>
  <si>
    <t>已退款</t>
  </si>
  <si>
    <t>SO20362</t>
  </si>
  <si>
    <t>京东</t>
  </si>
  <si>
    <t>SO20266</t>
  </si>
  <si>
    <t>SO20305</t>
  </si>
  <si>
    <t>SO20329</t>
  </si>
  <si>
    <t>SO20291</t>
  </si>
  <si>
    <t>SO20318</t>
  </si>
  <si>
    <t>SO20330</t>
  </si>
  <si>
    <t>SO20273</t>
  </si>
  <si>
    <t>SO20346</t>
  </si>
  <si>
    <t>SO20359</t>
  </si>
  <si>
    <t>SO20280</t>
  </si>
  <si>
    <t>广州</t>
  </si>
  <si>
    <t>SO20282</t>
  </si>
  <si>
    <t>SO20304</t>
  </si>
  <si>
    <t>SO20312</t>
  </si>
  <si>
    <t>SO20310</t>
  </si>
  <si>
    <t>SO20337</t>
  </si>
  <si>
    <t>SO20267</t>
  </si>
  <si>
    <t>SO20278</t>
  </si>
  <si>
    <t>SO20348</t>
  </si>
  <si>
    <t>SO20306</t>
  </si>
  <si>
    <t>SO20321</t>
  </si>
  <si>
    <t>SO20349</t>
  </si>
  <si>
    <t>SO20351</t>
  </si>
  <si>
    <t>SO20286</t>
  </si>
  <si>
    <t>SO20288</t>
  </si>
  <si>
    <t>SO20326</t>
  </si>
  <si>
    <t>SO20350</t>
  </si>
  <si>
    <t>SO20354</t>
  </si>
  <si>
    <t>SO20269</t>
  </si>
  <si>
    <t>SO20262</t>
  </si>
  <si>
    <t>SO20320</t>
  </si>
  <si>
    <t>SO20315</t>
  </si>
  <si>
    <t>SO20272</t>
  </si>
  <si>
    <t>SO20296</t>
  </si>
  <si>
    <t>SO20331</t>
  </si>
  <si>
    <t>SO20294</t>
  </si>
  <si>
    <t>SO20302</t>
  </si>
  <si>
    <t>SO20343</t>
  </si>
  <si>
    <t>SO20375</t>
  </si>
  <si>
    <t>SO20436</t>
  </si>
  <si>
    <t>SO20388</t>
  </si>
  <si>
    <t>SO20442</t>
  </si>
  <si>
    <t>SO20370</t>
  </si>
  <si>
    <t>SO20413</t>
  </si>
  <si>
    <t>SO20371</t>
  </si>
  <si>
    <t>SO20394</t>
  </si>
  <si>
    <t>SO20409</t>
  </si>
  <si>
    <t>SO20477</t>
  </si>
  <si>
    <t>SO20455</t>
  </si>
  <si>
    <t>SO20399</t>
  </si>
  <si>
    <t>SO20457</t>
  </si>
  <si>
    <t>SO20396</t>
  </si>
  <si>
    <t>SO20411</t>
  </si>
  <si>
    <t>SO20444</t>
  </si>
  <si>
    <t>SO20449</t>
  </si>
  <si>
    <t>SO20376</t>
  </si>
  <si>
    <t>SO20440</t>
  </si>
  <si>
    <t>SO20426</t>
  </si>
  <si>
    <t>SO20429</t>
  </si>
  <si>
    <t>SO20414</t>
  </si>
  <si>
    <t>SO20470</t>
  </si>
  <si>
    <t>SO20482</t>
  </si>
  <si>
    <t>SO20408</t>
  </si>
  <si>
    <t>SO20452</t>
  </si>
  <si>
    <t>SO20485</t>
  </si>
  <si>
    <t>SO20488</t>
  </si>
  <si>
    <t>SO20378</t>
  </si>
  <si>
    <t>SO20418</t>
  </si>
  <si>
    <t>SO20433</t>
  </si>
  <si>
    <t>SO20389</t>
  </si>
  <si>
    <t>SO20402</t>
  </si>
  <si>
    <t>SO20471</t>
  </si>
  <si>
    <t>SO20480</t>
  </si>
  <si>
    <t>SO20404</t>
  </si>
  <si>
    <t>SO20467</t>
  </si>
  <si>
    <t>SO20395</t>
  </si>
  <si>
    <t>SO20406</t>
  </si>
  <si>
    <t>SO20431</t>
  </si>
  <si>
    <t>SO20383</t>
  </si>
  <si>
    <t>SO20390</t>
  </si>
  <si>
    <t>SO20397</t>
  </si>
  <si>
    <t>SO20420</t>
  </si>
  <si>
    <t>SO20476</t>
  </si>
  <si>
    <t>SO20374</t>
  </si>
  <si>
    <t>SO20462</t>
  </si>
  <si>
    <t>SO20368</t>
  </si>
  <si>
    <t>SO20473</t>
  </si>
  <si>
    <t>SO20392</t>
  </si>
  <si>
    <t>SO20380</t>
  </si>
  <si>
    <t>SO20459</t>
  </si>
  <si>
    <t>SO20423</t>
  </si>
  <si>
    <t>SO20447</t>
  </si>
  <si>
    <t>SO20385</t>
  </si>
  <si>
    <t>SO20416</t>
  </si>
  <si>
    <t>SO20438</t>
  </si>
  <si>
    <t>SO20465</t>
  </si>
  <si>
    <t>SO20568</t>
  </si>
  <si>
    <t>SO20595</t>
  </si>
  <si>
    <t>SO20544</t>
  </si>
  <si>
    <t>SO20588</t>
  </si>
  <si>
    <t>SO20591</t>
  </si>
  <si>
    <t>SO20563</t>
  </si>
  <si>
    <t>SO20507</t>
  </si>
  <si>
    <t>SO20517</t>
  </si>
  <si>
    <t>SO20548</t>
  </si>
  <si>
    <t>SO20556</t>
  </si>
  <si>
    <t>SO20605</t>
  </si>
  <si>
    <t>SO20607</t>
  </si>
  <si>
    <t>SO20610</t>
  </si>
  <si>
    <t>SO20491</t>
  </si>
  <si>
    <t>SO20504</t>
  </si>
  <si>
    <t>SO20518</t>
  </si>
  <si>
    <t>SO20527</t>
  </si>
  <si>
    <t>SO20533</t>
  </si>
  <si>
    <t>SO20514</t>
  </si>
  <si>
    <t>SO20558</t>
  </si>
  <si>
    <t>SO20530</t>
  </si>
  <si>
    <t>SO20579</t>
  </si>
  <si>
    <t>SO20582</t>
  </si>
  <si>
    <t>SO20614</t>
  </si>
  <si>
    <t>SO20618</t>
  </si>
  <si>
    <t>SO20623</t>
  </si>
  <si>
    <t>SO20494</t>
  </si>
  <si>
    <t>SO20538</t>
  </si>
  <si>
    <t>SO20592</t>
  </si>
  <si>
    <t>SO20561</t>
  </si>
  <si>
    <t>SO20553</t>
  </si>
  <si>
    <t>SO20493</t>
  </si>
  <si>
    <t>SO20566</t>
  </si>
  <si>
    <t>SO20572</t>
  </si>
  <si>
    <t>SO20539</t>
  </si>
  <si>
    <t>SO20547</t>
  </si>
  <si>
    <t>SO20511</t>
  </si>
  <si>
    <t>SO20576</t>
  </si>
  <si>
    <t>SO20629</t>
  </si>
  <si>
    <t>SO20585</t>
  </si>
  <si>
    <t>SO20604</t>
  </si>
  <si>
    <t>SO20523</t>
  </si>
  <si>
    <t>SO20536</t>
  </si>
  <si>
    <t>SO20550</t>
  </si>
  <si>
    <t>SO20501</t>
  </si>
  <si>
    <t>SO20521</t>
  </si>
  <si>
    <t>SO20542</t>
  </si>
  <si>
    <t>SO20570</t>
  </si>
  <si>
    <t>SO20599</t>
  </si>
  <si>
    <t>SO20496</t>
  </si>
  <si>
    <t>SO20593</t>
  </si>
  <si>
    <t>SO20596</t>
  </si>
  <si>
    <t>SO20628</t>
  </si>
  <si>
    <t>SO20516</t>
  </si>
  <si>
    <t>SO20626</t>
  </si>
  <si>
    <t>SO20532</t>
  </si>
  <si>
    <t>SO20552</t>
  </si>
  <si>
    <t>SO20616</t>
  </si>
  <si>
    <t>SO20562</t>
  </si>
  <si>
    <t>SO20611</t>
  </si>
  <si>
    <t>SO20620</t>
  </si>
  <si>
    <t>SO20573</t>
  </si>
  <si>
    <t>SO20619</t>
  </si>
  <si>
    <t>SO20499</t>
  </si>
  <si>
    <t>SO20524</t>
  </si>
  <si>
    <t>SO20609</t>
  </si>
  <si>
    <t>SO20509</t>
  </si>
  <si>
    <t>SO20601</t>
  </si>
  <si>
    <t>SO20617</t>
  </si>
  <si>
    <t>SO20630</t>
  </si>
  <si>
    <t>Sum of 销售额</t>
  </si>
  <si>
    <t>Grand Total</t>
  </si>
  <si>
    <t>月份</t>
  </si>
  <si>
    <t>渠道</t>
  </si>
  <si>
    <t>4月</t>
  </si>
  <si>
    <t>5月</t>
  </si>
  <si>
    <t>6月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</si>
</sst>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\¥#,##0"/>
  </numFmts>
  <fonts count="8" x14ac:knownFonts="1">
    <font>
      <sz val="11"/>
      <name val="Calibri"/>
    </font>
    <font>
      <b/>
      <sz val="11"/>
      <color rgb="FFFFFFFF"/>
      <name val="Calibri"/>
      <family val="2"/>
    </font>
    <font>
      <b/>
      <sz val="20"/>
      <color rgb="FF1F3864"/>
      <name val="Calibri"/>
      <family val="2"/>
    </font>
    <font>
      <b/>
      <sz val="10"/>
      <color rgb="FF666666"/>
      <name val="Calibri"/>
      <family val="2"/>
    </font>
    <font>
      <b/>
      <sz val="24"/>
      <color rgb="FF2E7D32"/>
      <name val="Calibri"/>
      <family val="2"/>
    </font>
    <font>
      <b/>
      <sz val="24"/>
      <color rgb="FF1F3864"/>
      <name val="Calibri"/>
      <family val="2"/>
    </font>
    <font>
      <b/>
      <sz val="24"/>
      <color rgb="FFC77700"/>
      <name val="Calibri"/>
      <family val="2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76" fontId="0" fillId="0" borderId="0" xfId="0" applyNumberFormat="1"/>
    <xf numFmtId="0" fontId="1" fillId="2" borderId="0" xfId="0" applyFont="1" applyFill="1"/>
    <xf numFmtId="177" fontId="0" fillId="0" borderId="0" xfId="0" applyNumberFormat="1"/>
    <xf numFmtId="0" fontId="2" fillId="0" borderId="0" xfId="0" applyFont="1"/>
    <xf numFmtId="0" fontId="3" fillId="3" borderId="0" xfId="0" applyFont="1" applyFill="1"/>
    <xf numFmtId="177" fontId="4" fillId="3" borderId="0" xfId="0" applyNumberFormat="1" applyFont="1" applyFill="1"/>
    <xf numFmtId="3" fontId="5" fillId="3" borderId="0" xfId="0" applyNumberFormat="1" applyFont="1" applyFill="1"/>
    <xf numFmtId="177" fontId="6" fillId="3" borderId="0" xfId="0" applyNumberFormat="1" applyFont="1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100" b="1"/>
            </a:pPr>
            <a:r>
              <a:rPr lang="en-US" sz="1100" b="1">
                <a:solidFill>
                  <a:srgbClr val="555555"/>
                </a:solidFill>
              </a:rPr>
              <a:t>各月销售趋势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销售额</c:v>
          </c:tx>
          <c:spPr>
            <a:ln w="25400">
              <a:solidFill>
                <a:srgbClr val="4CAF50"/>
              </a:solidFill>
            </a:ln>
          </c:spPr>
          <c:cat>
            <c:strRef>
              <c:f>汇总!$A$2:$A$4</c:f>
              <c:strCache>
                <c:ptCount val="3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</c:strCache>
            </c:strRef>
          </c:cat>
          <c:val>
            <c:numRef>
              <c:f>汇总!$B$2:$B$4</c:f>
              <c:numCache>
                <c:formatCode>\¥#,##0</c:formatCode>
                <c:ptCount val="3"/>
                <c:pt idx="0">
                  <c:v>126619</c:v>
                </c:pt>
                <c:pt idx="1">
                  <c:v>136305</c:v>
                </c:pt>
                <c:pt idx="2">
                  <c:v>152994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F8-574F-94AC-DFC85ED27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3810">
            <a:solidFill>
              <a:srgbClr val="CCCCCC"/>
            </a:solidFill>
          </a:ln>
        </c:spPr>
        <c:txPr>
          <a:bodyPr/>
          <a:lstStyle/>
          <a:p>
            <a:pPr>
              <a:defRPr sz="800">
                <a:solidFill>
                  <a:srgbClr val="999999"/>
                </a:solidFill>
              </a:defRPr>
            </a:pPr>
            <a:endParaRPr lang="zh-CN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>
          <c:spPr>
            <a:ln w="2540">
              <a:solidFill>
                <a:srgbClr val="EEEEEE"/>
              </a:solidFill>
            </a:ln>
          </c:spPr>
        </c:majorGridlines>
        <c:numFmt formatCode="\¥#,##0" sourceLinked="0"/>
        <c:majorTickMark val="none"/>
        <c:minorTickMark val="none"/>
        <c:tickLblPos val="nextTo"/>
        <c:spPr>
          <a:ln w="3810">
            <a:solidFill>
              <a:srgbClr val="CCCCCC"/>
            </a:solidFill>
          </a:ln>
        </c:spPr>
        <c:txPr>
          <a:bodyPr/>
          <a:lstStyle/>
          <a:p>
            <a:pPr>
              <a:defRPr sz="800">
                <a:solidFill>
                  <a:srgbClr val="999999"/>
                </a:solidFill>
              </a:defRPr>
            </a:pPr>
            <a:endParaRPr lang="zh-CN"/>
          </a:p>
        </c:txPr>
        <c:crossAx val="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800">
              <a:solidFill>
                <a:srgbClr val="999999"/>
              </a:solidFill>
            </a:defRPr>
          </a:pPr>
          <a:endParaRPr lang="zh-CN"/>
        </a:p>
      </c:txPr>
    </c:legend>
    <c:plotVisOnly val="1"/>
    <c:dispBlanksAs val="gap"/>
    <c:showDLblsOverMax val="1"/>
  </c:chart>
  <c:spPr>
    <a:noFill/>
    <a:ln w="3810"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100" b="1"/>
            </a:pPr>
            <a:r>
              <a:rPr lang="en-US" sz="1100" b="1">
                <a:solidFill>
                  <a:srgbClr val="555555"/>
                </a:solidFill>
              </a:rPr>
              <a:t>各渠道销售占比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销售额</c:v>
          </c:tx>
          <c:dPt>
            <c:idx val="0"/>
            <c:bubble3D val="0"/>
            <c:spPr>
              <a:solidFill>
                <a:srgbClr val="4CAF50"/>
              </a:solidFill>
            </c:spPr>
            <c:extLst>
              <c:ext xmlns:c16="http://schemas.microsoft.com/office/drawing/2014/chart" uri="{C3380CC4-5D6E-409C-BE32-E72D297353CC}">
                <c16:uniqueId val="{00000001-7042-7D46-99B4-778776A31C1E}"/>
              </c:ext>
            </c:extLst>
          </c:dPt>
          <c:dPt>
            <c:idx val="1"/>
            <c:bubble3D val="0"/>
            <c:spPr>
              <a:solidFill>
                <a:srgbClr val="2196F3"/>
              </a:solidFill>
            </c:spPr>
            <c:extLst>
              <c:ext xmlns:c16="http://schemas.microsoft.com/office/drawing/2014/chart" uri="{C3380CC4-5D6E-409C-BE32-E72D297353CC}">
                <c16:uniqueId val="{00000003-7042-7D46-99B4-778776A31C1E}"/>
              </c:ext>
            </c:extLst>
          </c:dPt>
          <c:dPt>
            <c:idx val="2"/>
            <c:bubble3D val="0"/>
            <c:spPr>
              <a:solidFill>
                <a:srgbClr val="FF9800"/>
              </a:solidFill>
            </c:spPr>
            <c:extLst>
              <c:ext xmlns:c16="http://schemas.microsoft.com/office/drawing/2014/chart" uri="{C3380CC4-5D6E-409C-BE32-E72D297353CC}">
                <c16:uniqueId val="{00000005-7042-7D46-99B4-778776A31C1E}"/>
              </c:ext>
            </c:extLst>
          </c:dPt>
          <c:dPt>
            <c:idx val="3"/>
            <c:bubble3D val="0"/>
            <c:spPr>
              <a:solidFill>
                <a:srgbClr val="9C27B0"/>
              </a:solidFill>
            </c:spPr>
            <c:extLst>
              <c:ext xmlns:c16="http://schemas.microsoft.com/office/drawing/2014/chart" uri="{C3380CC4-5D6E-409C-BE32-E72D297353CC}">
                <c16:uniqueId val="{00000007-7042-7D46-99B4-778776A31C1E}"/>
              </c:ext>
            </c:extLst>
          </c:dPt>
          <c:dPt>
            <c:idx val="4"/>
            <c:bubble3D val="0"/>
            <c:spPr>
              <a:solidFill>
                <a:srgbClr val="F44336"/>
              </a:solidFill>
            </c:spPr>
            <c:extLst>
              <c:ext xmlns:c16="http://schemas.microsoft.com/office/drawing/2014/chart" uri="{C3380CC4-5D6E-409C-BE32-E72D297353CC}">
                <c16:uniqueId val="{00000009-7042-7D46-99B4-778776A31C1E}"/>
              </c:ext>
            </c:extLst>
          </c:dPt>
          <c:dPt>
            <c:idx val="5"/>
            <c:bubble3D val="0"/>
            <c:spPr>
              <a:solidFill>
                <a:srgbClr val="00BCD4"/>
              </a:solidFill>
            </c:spPr>
            <c:extLst>
              <c:ext xmlns:c16="http://schemas.microsoft.com/office/drawing/2014/chart" uri="{C3380CC4-5D6E-409C-BE32-E72D297353CC}">
                <c16:uniqueId val="{0000000B-7042-7D46-99B4-778776A31C1E}"/>
              </c:ext>
            </c:extLst>
          </c:dPt>
          <c:cat>
            <c:strRef>
              <c:f>汇总!$D$2:$D$6</c:f>
              <c:strCache>
                <c:ptCount val="5"/>
                <c:pt idx="0">
                  <c:v>天猫</c:v>
                </c:pt>
                <c:pt idx="1">
                  <c:v>抖音</c:v>
                </c:pt>
                <c:pt idx="2">
                  <c:v>官网</c:v>
                </c:pt>
                <c:pt idx="3">
                  <c:v>京东</c:v>
                </c:pt>
                <c:pt idx="4">
                  <c:v>线下门店</c:v>
                </c:pt>
              </c:strCache>
            </c:strRef>
          </c:cat>
          <c:val>
            <c:numRef>
              <c:f>汇总!$E$2:$E$6</c:f>
              <c:numCache>
                <c:formatCode>\¥#,##0</c:formatCode>
                <c:ptCount val="5"/>
                <c:pt idx="0">
                  <c:v>103624</c:v>
                </c:pt>
                <c:pt idx="1">
                  <c:v>67155</c:v>
                </c:pt>
                <c:pt idx="2">
                  <c:v>81839</c:v>
                </c:pt>
                <c:pt idx="3">
                  <c:v>70956</c:v>
                </c:pt>
                <c:pt idx="4">
                  <c:v>92344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042-7D46-99B4-778776A31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</c:spPr>
    </c:plotArea>
    <c:legend>
      <c:legendPos val="b"/>
      <c:overlay val="0"/>
      <c:txPr>
        <a:bodyPr/>
        <a:lstStyle/>
        <a:p>
          <a:pPr>
            <a:defRPr sz="800">
              <a:solidFill>
                <a:srgbClr val="999999"/>
              </a:solidFill>
            </a:defRPr>
          </a:pPr>
          <a:endParaRPr lang="zh-CN"/>
        </a:p>
      </c:txPr>
    </c:legend>
    <c:plotVisOnly val="1"/>
    <c:dispBlanksAs val="gap"/>
    <c:showDLblsOverMax val="1"/>
  </c:chart>
  <c:spPr>
    <a:noFill/>
    <a:ln w="3810"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100" b="1"/>
            </a:pPr>
            <a:r>
              <a:rPr lang="en-US" sz="1100" b="1">
                <a:solidFill>
                  <a:srgbClr val="555555"/>
                </a:solidFill>
              </a:rPr>
              <a:t>产品类别销售对比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销售额</c:v>
          </c:tx>
          <c:spPr>
            <a:solidFill>
              <a:srgbClr val="4CAF50"/>
            </a:solidFill>
          </c:spPr>
          <c:invertIfNegative val="0"/>
          <c:cat>
            <c:strRef>
              <c:f>汇总!$G$2:$G$4</c:f>
              <c:strCache>
                <c:ptCount val="3"/>
                <c:pt idx="0">
                  <c:v>家居</c:v>
                </c:pt>
                <c:pt idx="1">
                  <c:v>家电</c:v>
                </c:pt>
                <c:pt idx="2">
                  <c:v>数码</c:v>
                </c:pt>
              </c:strCache>
            </c:strRef>
          </c:cat>
          <c:val>
            <c:numRef>
              <c:f>汇总!$H$2:$H$4</c:f>
              <c:numCache>
                <c:formatCode>\¥#,##0</c:formatCode>
                <c:ptCount val="3"/>
                <c:pt idx="0">
                  <c:v>235185</c:v>
                </c:pt>
                <c:pt idx="1">
                  <c:v>92227</c:v>
                </c:pt>
                <c:pt idx="2">
                  <c:v>88506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5-DE4A-945B-5226DEC78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3810">
            <a:solidFill>
              <a:srgbClr val="CCCCCC"/>
            </a:solidFill>
          </a:ln>
        </c:spPr>
        <c:txPr>
          <a:bodyPr/>
          <a:lstStyle/>
          <a:p>
            <a:pPr>
              <a:defRPr sz="800">
                <a:solidFill>
                  <a:srgbClr val="999999"/>
                </a:solidFill>
              </a:defRPr>
            </a:pPr>
            <a:endParaRPr lang="zh-CN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>
          <c:spPr>
            <a:ln w="2540">
              <a:solidFill>
                <a:srgbClr val="EEEEEE"/>
              </a:solidFill>
            </a:ln>
          </c:spPr>
        </c:majorGridlines>
        <c:numFmt formatCode="\¥#,##0" sourceLinked="0"/>
        <c:majorTickMark val="none"/>
        <c:minorTickMark val="none"/>
        <c:tickLblPos val="nextTo"/>
        <c:spPr>
          <a:ln w="3810">
            <a:solidFill>
              <a:srgbClr val="CCCCCC"/>
            </a:solidFill>
          </a:ln>
        </c:spPr>
        <c:txPr>
          <a:bodyPr/>
          <a:lstStyle/>
          <a:p>
            <a:pPr>
              <a:defRPr sz="800">
                <a:solidFill>
                  <a:srgbClr val="999999"/>
                </a:solidFill>
              </a:defRPr>
            </a:pPr>
            <a:endParaRPr lang="zh-CN"/>
          </a:p>
        </c:txPr>
        <c:crossAx val="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800">
              <a:solidFill>
                <a:srgbClr val="999999"/>
              </a:solidFill>
            </a:defRPr>
          </a:pPr>
          <a:endParaRPr lang="zh-CN"/>
        </a:p>
      </c:txPr>
    </c:legend>
    <c:plotVisOnly val="1"/>
    <c:dispBlanksAs val="gap"/>
    <c:showDLblsOverMax val="1"/>
  </c:chart>
  <c:spPr>
    <a:noFill/>
    <a:ln w="3810"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2" name="各月销售趋势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165100</xdr:rowOff>
    </xdr:from>
    <xdr:to>
      <xdr:col>5</xdr:col>
      <xdr:colOff>660400</xdr:colOff>
      <xdr:row>36</xdr:row>
      <xdr:rowOff>165100</xdr:rowOff>
    </xdr:to>
    <xdr:graphicFrame macro="">
      <xdr:nvGraphicFramePr>
        <xdr:cNvPr id="3" name="各渠道销售占比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53340</xdr:colOff>
      <xdr:row>1</xdr:row>
      <xdr:rowOff>142240</xdr:rowOff>
    </xdr:from>
    <xdr:to>
      <xdr:col>15</xdr:col>
      <xdr:colOff>53340</xdr:colOff>
      <xdr:row>15</xdr:row>
      <xdr:rowOff>167640</xdr:rowOff>
    </xdr:to>
    <xdr:graphicFrame macro="">
      <xdr:nvGraphicFramePr>
        <xdr:cNvPr id="4" name="产品类别销售对比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freshedVersion="3" minRefreshableVersion="3" recordCount="180" xr:uid="{00000000-000A-0000-FFFF-FFFF00000000}">
  <cacheSource type="worksheet">
    <worksheetSource ref="A1:J181" sheet="Sheet1"/>
  </cacheSource>
  <cacheFields count="10">
    <cacheField name="订单日期" numFmtId="176">
      <sharedItems containsSemiMixedTypes="0" containsString="0" containsNumber="1" minValue="46113" maxValue="46203"/>
    </cacheField>
    <cacheField name="订单号" numFmtId="0">
      <sharedItems count="180">
        <s v="SO20262"/>
        <s v="SO20263"/>
        <s v="SO20266"/>
        <s v="SO20267"/>
        <s v="SO20269"/>
        <s v="SO20272"/>
        <s v="SO20273"/>
        <s v="SO20276"/>
        <s v="SO20278"/>
        <s v="SO20280"/>
        <s v="SO20281"/>
        <s v="SO20282"/>
        <s v="SO20285"/>
        <s v="SO20286"/>
        <s v="SO20288"/>
        <s v="SO20291"/>
        <s v="SO20294"/>
        <s v="SO20296"/>
        <s v="SO20299"/>
        <s v="SO20302"/>
        <s v="SO20304"/>
        <s v="SO20305"/>
        <s v="SO20306"/>
        <s v="SO20307"/>
        <s v="SO20310"/>
        <s v="SO20312"/>
        <s v="SO20315"/>
        <s v="SO20318"/>
        <s v="SO20320"/>
        <s v="SO20321"/>
        <s v="SO20323"/>
        <s v="SO20326"/>
        <s v="SO20327"/>
        <s v="SO20329"/>
        <s v="SO20330"/>
        <s v="SO20331"/>
        <s v="SO20334"/>
        <s v="SO20337"/>
        <s v="SO20340"/>
        <s v="SO20342"/>
        <s v="SO20343"/>
        <s v="SO20346"/>
        <s v="SO20348"/>
        <s v="SO20349"/>
        <s v="SO20350"/>
        <s v="SO20351"/>
        <s v="SO20352"/>
        <s v="SO20354"/>
        <s v="SO20357"/>
        <s v="SO20359"/>
        <s v="SO20362"/>
        <s v="SO20365"/>
        <s v="SO20368"/>
        <s v="SO20370"/>
        <s v="SO20371"/>
        <s v="SO20374"/>
        <s v="SO20375"/>
        <s v="SO20376"/>
        <s v="SO20378"/>
        <s v="SO20380"/>
        <s v="SO20383"/>
        <s v="SO20385"/>
        <s v="SO20388"/>
        <s v="SO20389"/>
        <s v="SO20390"/>
        <s v="SO20392"/>
        <s v="SO20394"/>
        <s v="SO20395"/>
        <s v="SO20396"/>
        <s v="SO20397"/>
        <s v="SO20399"/>
        <s v="SO20402"/>
        <s v="SO20404"/>
        <s v="SO20406"/>
        <s v="SO20408"/>
        <s v="SO20409"/>
        <s v="SO20411"/>
        <s v="SO20413"/>
        <s v="SO20414"/>
        <s v="SO20416"/>
        <s v="SO20418"/>
        <s v="SO20420"/>
        <s v="SO20423"/>
        <s v="SO20426"/>
        <s v="SO20429"/>
        <s v="SO20431"/>
        <s v="SO20433"/>
        <s v="SO20436"/>
        <s v="SO20438"/>
        <s v="SO20440"/>
        <s v="SO20442"/>
        <s v="SO20444"/>
        <s v="SO20447"/>
        <s v="SO20449"/>
        <s v="SO20452"/>
        <s v="SO20455"/>
        <s v="SO20457"/>
        <s v="SO20459"/>
        <s v="SO20462"/>
        <s v="SO20465"/>
        <s v="SO20467"/>
        <s v="SO20470"/>
        <s v="SO20471"/>
        <s v="SO20473"/>
        <s v="SO20476"/>
        <s v="SO20477"/>
        <s v="SO20480"/>
        <s v="SO20482"/>
        <s v="SO20485"/>
        <s v="SO20488"/>
        <s v="SO20491"/>
        <s v="SO20493"/>
        <s v="SO20494"/>
        <s v="SO20496"/>
        <s v="SO20499"/>
        <s v="SO20501"/>
        <s v="SO20504"/>
        <s v="SO20507"/>
        <s v="SO20509"/>
        <s v="SO20511"/>
        <s v="SO20514"/>
        <s v="SO20516"/>
        <s v="SO20517"/>
        <s v="SO20518"/>
        <s v="SO20521"/>
        <s v="SO20523"/>
        <s v="SO20524"/>
        <s v="SO20527"/>
        <s v="SO20530"/>
        <s v="SO20532"/>
        <s v="SO20533"/>
        <s v="SO20536"/>
        <s v="SO20538"/>
        <s v="SO20539"/>
        <s v="SO20542"/>
        <s v="SO20544"/>
        <s v="SO20547"/>
        <s v="SO20548"/>
        <s v="SO20550"/>
        <s v="SO20552"/>
        <s v="SO20553"/>
        <s v="SO20556"/>
        <s v="SO20558"/>
        <s v="SO20561"/>
        <s v="SO20562"/>
        <s v="SO20563"/>
        <s v="SO20566"/>
        <s v="SO20568"/>
        <s v="SO20570"/>
        <s v="SO20572"/>
        <s v="SO20573"/>
        <s v="SO20576"/>
        <s v="SO20579"/>
        <s v="SO20582"/>
        <s v="SO20585"/>
        <s v="SO20588"/>
        <s v="SO20591"/>
        <s v="SO20592"/>
        <s v="SO20593"/>
        <s v="SO20595"/>
        <s v="SO20596"/>
        <s v="SO20599"/>
        <s v="SO20601"/>
        <s v="SO20604"/>
        <s v="SO20605"/>
        <s v="SO20607"/>
        <s v="SO20609"/>
        <s v="SO20610"/>
        <s v="SO20611"/>
        <s v="SO20614"/>
        <s v="SO20616"/>
        <s v="SO20617"/>
        <s v="SO20618"/>
        <s v="SO20619"/>
        <s v="SO20620"/>
        <s v="SO20623"/>
        <s v="SO20626"/>
        <s v="SO20628"/>
        <s v="SO20629"/>
        <s v="SO20630"/>
      </sharedItems>
    </cacheField>
    <cacheField name="城市" numFmtId="0">
      <sharedItems count="6">
        <s v="上海"/>
        <s v="北京"/>
        <s v="广州"/>
        <s v="成都"/>
        <s v="杭州"/>
        <s v="深圳"/>
      </sharedItems>
    </cacheField>
    <cacheField name="销售渠道" numFmtId="0">
      <sharedItems count="5">
        <s v="京东"/>
        <s v="天猫"/>
        <s v="官网"/>
        <s v="抖音"/>
        <s v="线下门店"/>
      </sharedItems>
    </cacheField>
    <cacheField name="产品名称" numFmtId="0">
      <sharedItems count="6">
        <s v="人体工学椅"/>
        <s v="便携咖啡机"/>
        <s v="无线耳机Air"/>
        <s v="智能手表ProX"/>
        <s v="电动升降桌"/>
        <s v="空气净化器S1"/>
      </sharedItems>
    </cacheField>
    <cacheField name="类别" numFmtId="0">
      <sharedItems count="3">
        <s v="家居"/>
        <s v="家电"/>
        <s v="数码"/>
      </sharedItems>
    </cacheField>
    <cacheField name="数量" numFmtId="0">
      <sharedItems containsSemiMixedTypes="0" containsString="0" containsNumber="1" minValue="1" maxValue="5"/>
    </cacheField>
    <cacheField name="单价" numFmtId="0">
      <sharedItems containsSemiMixedTypes="0" containsString="0" containsNumber="1" minValue="499" maxValue="2499"/>
    </cacheField>
    <cacheField name="销售额" numFmtId="0">
      <sharedItems containsSemiMixedTypes="0" containsString="0" containsNumber="1" minValue="499" maxValue="9495"/>
    </cacheField>
    <cacheField name="备注" numFmtId="0">
      <sharedItems count="2">
        <s v="已退款"/>
        <s v="赠品订单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x:pivotCacheRecords xmlns:x="http://schemas.openxmlformats.org/spreadsheetml/2006/main" count="180">
  <x:r>
    <x:n v="46113"/>
    <x:x v="48"/>
    <x:x v="0"/>
    <x:x v="1"/>
    <x:x v="5"/>
    <x:x v="1"/>
    <x:n v="1"/>
    <x:n v="1599"/>
    <x:n v="1599"/>
    <x:m/>
  </x:r>
  <x:r>
    <x:n v="46117"/>
    <x:x v="51"/>
    <x:x v="5"/>
    <x:x v="3"/>
    <x:x v="3"/>
    <x:x v="2"/>
    <x:n v="3"/>
    <x:n v="1299"/>
    <x:n v="3897"/>
    <x:m/>
  </x:r>
  <x:r>
    <x:n v="46118"/>
    <x:x v="1"/>
    <x:x v="4"/>
    <x:x v="2"/>
    <x:x v="2"/>
    <x:x v="2"/>
    <x:n v="2"/>
    <x:n v="499"/>
    <x:n v="998"/>
    <x:m/>
  </x:r>
  <x:r>
    <x:n v="46118"/>
    <x:x v="10"/>
    <x:x v="4"/>
    <x:x v="2"/>
    <x:x v="2"/>
    <x:x v="2"/>
    <x:n v="1"/>
    <x:n v="499"/>
    <x:n v="499"/>
    <x:m/>
  </x:r>
  <x:r>
    <x:n v="46118"/>
    <x:x v="38"/>
    <x:x v="3"/>
    <x:x v="2"/>
    <x:x v="4"/>
    <x:x v="0"/>
    <x:n v="1"/>
    <x:n v="2499"/>
    <x:n v="2499"/>
    <x:x v="1"/>
  </x:r>
  <x:r>
    <x:n v="46119"/>
    <x:x v="46"/>
    <x:x v="3"/>
    <x:x v="3"/>
    <x:x v="0"/>
    <x:x v="0"/>
    <x:n v="1"/>
    <x:n v="1899"/>
    <x:n v="1899"/>
    <x:m/>
  </x:r>
  <x:r>
    <x:n v="46120"/>
    <x:x v="18"/>
    <x:x v="4"/>
    <x:x v="2"/>
    <x:x v="0"/>
    <x:x v="0"/>
    <x:n v="2"/>
    <x:n v="1899"/>
    <x:n v="3798"/>
    <x:m/>
  </x:r>
  <x:r>
    <x:n v="46120"/>
    <x:x v="23"/>
    <x:x v="4"/>
    <x:x v="2"/>
    <x:x v="2"/>
    <x:x v="2"/>
    <x:n v="2"/>
    <x:n v="499"/>
    <x:n v="998"/>
    <x:m/>
  </x:r>
  <x:r>
    <x:n v="46120"/>
    <x:x v="39"/>
    <x:x v="5"/>
    <x:x v="1"/>
    <x:x v="2"/>
    <x:x v="2"/>
    <x:n v="1"/>
    <x:n v="499"/>
    <x:n v="499"/>
    <x:x v="1"/>
  </x:r>
  <x:r>
    <x:n v="46121"/>
    <x:x v="30"/>
    <x:x v="3"/>
    <x:x v="1"/>
    <x:x v="1"/>
    <x:x v="1"/>
    <x:n v="1"/>
    <x:n v="899"/>
    <x:n v="899"/>
    <x:m/>
  </x:r>
  <x:r>
    <x:n v="46121"/>
    <x:x v="36"/>
    <x:x v="1"/>
    <x:x v="3"/>
    <x:x v="0"/>
    <x:x v="0"/>
    <x:n v="2"/>
    <x:n v="1899"/>
    <x:n v="3798"/>
    <x:m/>
  </x:r>
  <x:r>
    <x:n v="46122"/>
    <x:x v="7"/>
    <x:x v="4"/>
    <x:x v="1"/>
    <x:x v="5"/>
    <x:x v="1"/>
    <x:n v="2"/>
    <x:n v="1599"/>
    <x:n v="3198"/>
    <x:m/>
  </x:r>
  <x:r>
    <x:n v="46122"/>
    <x:x v="12"/>
    <x:x v="3"/>
    <x:x v="4"/>
    <x:x v="0"/>
    <x:x v="0"/>
    <x:n v="1"/>
    <x:n v="1899"/>
    <x:n v="1899"/>
    <x:m/>
  </x:r>
  <x:r>
    <x:n v="46122"/>
    <x:x v="32"/>
    <x:x v="3"/>
    <x:x v="2"/>
    <x:x v="0"/>
    <x:x v="0"/>
    <x:n v="1"/>
    <x:n v="1899"/>
    <x:n v="1899"/>
    <x:x v="0"/>
  </x:r>
  <x:r>
    <x:n v="46122"/>
    <x:x v="50"/>
    <x:x v="4"/>
    <x:x v="0"/>
    <x:x v="2"/>
    <x:x v="2"/>
    <x:n v="1"/>
    <x:n v="499"/>
    <x:n v="499"/>
    <x:m/>
  </x:r>
  <x:r>
    <x:n v="46123"/>
    <x:x v="2"/>
    <x:x v="0"/>
    <x:x v="0"/>
    <x:x v="0"/>
    <x:x v="0"/>
    <x:n v="2"/>
    <x:n v="1899"/>
    <x:n v="3798"/>
    <x:m/>
  </x:r>
  <x:r>
    <x:n v="46123"/>
    <x:x v="21"/>
    <x:x v="1"/>
    <x:x v="2"/>
    <x:x v="5"/>
    <x:x v="1"/>
    <x:n v="2"/>
    <x:n v="1599"/>
    <x:n v="3198"/>
    <x:m/>
  </x:r>
  <x:r>
    <x:n v="46124"/>
    <x:x v="33"/>
    <x:x v="1"/>
    <x:x v="4"/>
    <x:x v="3"/>
    <x:x v="2"/>
    <x:n v="1"/>
    <x:n v="1299"/>
    <x:n v="1299"/>
    <x:m/>
  </x:r>
  <x:r>
    <x:n v="46126"/>
    <x:x v="15"/>
    <x:x v="5"/>
    <x:x v="0"/>
    <x:x v="0"/>
    <x:x v="0"/>
    <x:n v="1"/>
    <x:n v="1899"/>
    <x:n v="1899"/>
    <x:m/>
  </x:r>
  <x:r>
    <x:n v="46127"/>
    <x:x v="27"/>
    <x:x v="1"/>
    <x:x v="2"/>
    <x:x v="4"/>
    <x:x v="0"/>
    <x:n v="1"/>
    <x:n v="2499"/>
    <x:n v="2499"/>
    <x:m/>
  </x:r>
  <x:r>
    <x:n v="46127"/>
    <x:x v="34"/>
    <x:x v="0"/>
    <x:x v="2"/>
    <x:x v="2"/>
    <x:x v="2"/>
    <x:n v="1"/>
    <x:n v="499"/>
    <x:n v="499"/>
    <x:m/>
  </x:r>
  <x:r>
    <x:n v="46128"/>
    <x:x v="6"/>
    <x:x v="1"/>
    <x:x v="1"/>
    <x:x v="3"/>
    <x:x v="2"/>
    <x:n v="3"/>
    <x:n v="1299"/>
    <x:n v="3897"/>
    <x:m/>
  </x:r>
  <x:r>
    <x:n v="46128"/>
    <x:x v="41"/>
    <x:x v="3"/>
    <x:x v="1"/>
    <x:x v="5"/>
    <x:x v="1"/>
    <x:n v="1"/>
    <x:n v="1599"/>
    <x:n v="1599"/>
    <x:m/>
  </x:r>
  <x:r>
    <x:n v="46128"/>
    <x:x v="49"/>
    <x:x v="5"/>
    <x:x v="3"/>
    <x:x v="0"/>
    <x:x v="0"/>
    <x:n v="2"/>
    <x:n v="1899"/>
    <x:n v="3798"/>
    <x:m/>
  </x:r>
  <x:r>
    <x:n v="46130"/>
    <x:x v="9"/>
    <x:x v="2"/>
    <x:x v="2"/>
    <x:x v="0"/>
    <x:x v="0"/>
    <x:n v="2"/>
    <x:n v="1899"/>
    <x:n v="3798"/>
    <x:m/>
  </x:r>
  <x:r>
    <x:n v="46130"/>
    <x:x v="11"/>
    <x:x v="5"/>
    <x:x v="4"/>
    <x:x v="0"/>
    <x:x v="0"/>
    <x:n v="1"/>
    <x:n v="1899"/>
    <x:n v="1899"/>
    <x:m/>
  </x:r>
  <x:r>
    <x:n v="46130"/>
    <x:x v="20"/>
    <x:x v="5"/>
    <x:x v="0"/>
    <x:x v="5"/>
    <x:x v="1"/>
    <x:n v="3"/>
    <x:n v="1599"/>
    <x:n v="4797"/>
    <x:m/>
  </x:r>
  <x:r>
    <x:n v="46130"/>
    <x:x v="25"/>
    <x:x v="1"/>
    <x:x v="1"/>
    <x:x v="0"/>
    <x:x v="0"/>
    <x:n v="3"/>
    <x:n v="1899"/>
    <x:n v="5697"/>
    <x:m/>
  </x:r>
  <x:r>
    <x:n v="46131"/>
    <x:x v="24"/>
    <x:x v="2"/>
    <x:x v="3"/>
    <x:x v="5"/>
    <x:x v="1"/>
    <x:n v="1"/>
    <x:n v="1599"/>
    <x:n v="1599"/>
    <x:m/>
  </x:r>
  <x:r>
    <x:n v="46131"/>
    <x:x v="37"/>
    <x:x v="1"/>
    <x:x v="0"/>
    <x:x v="2"/>
    <x:x v="2"/>
    <x:n v="1"/>
    <x:n v="499"/>
    <x:n v="499"/>
    <x:m/>
  </x:r>
  <x:r>
    <x:n v="46132"/>
    <x:x v="3"/>
    <x:x v="5"/>
    <x:x v="0"/>
    <x:x v="4"/>
    <x:x v="0"/>
    <x:n v="2"/>
    <x:n v="2499"/>
    <x:n v="4998"/>
    <x:m/>
  </x:r>
  <x:r>
    <x:n v="46132"/>
    <x:x v="8"/>
    <x:x v="3"/>
    <x:x v="0"/>
    <x:x v="4"/>
    <x:x v="0"/>
    <x:n v="1"/>
    <x:n v="2499"/>
    <x:n v="2499"/>
    <x:m/>
  </x:r>
  <x:r>
    <x:n v="46132"/>
    <x:x v="42"/>
    <x:x v="0"/>
    <x:x v="4"/>
    <x:x v="1"/>
    <x:x v="1"/>
    <x:n v="1"/>
    <x:n v="899"/>
    <x:n v="899"/>
    <x:m/>
  </x:r>
  <x:r>
    <x:n v="46133"/>
    <x:x v="22"/>
    <x:x v="4"/>
    <x:x v="0"/>
    <x:x v="0"/>
    <x:x v="0"/>
    <x:n v="1"/>
    <x:n v="1899"/>
    <x:n v="1899"/>
    <x:m/>
  </x:r>
  <x:r>
    <x:n v="46133"/>
    <x:x v="29"/>
    <x:x v="3"/>
    <x:x v="4"/>
    <x:x v="2"/>
    <x:x v="2"/>
    <x:n v="1"/>
    <x:n v="499"/>
    <x:n v="499"/>
    <x:m/>
  </x:r>
  <x:r>
    <x:n v="46133"/>
    <x:x v="43"/>
    <x:x v="1"/>
    <x:x v="2"/>
    <x:x v="0"/>
    <x:x v="0"/>
    <x:n v="1"/>
    <x:n v="1899"/>
    <x:n v="1899"/>
    <x:m/>
  </x:r>
  <x:r>
    <x:n v="46133"/>
    <x:x v="45"/>
    <x:x v="0"/>
    <x:x v="3"/>
    <x:x v="3"/>
    <x:x v="2"/>
    <x:n v="1"/>
    <x:n v="1299"/>
    <x:n v="1299"/>
    <x:m/>
  </x:r>
  <x:r>
    <x:n v="46135"/>
    <x:x v="13"/>
    <x:x v="5"/>
    <x:x v="0"/>
    <x:x v="3"/>
    <x:x v="2"/>
    <x:n v="1"/>
    <x:n v="1299"/>
    <x:n v="1299"/>
    <x:m/>
  </x:r>
  <x:r>
    <x:n v="46135"/>
    <x:x v="14"/>
    <x:x v="2"/>
    <x:x v="2"/>
    <x:x v="1"/>
    <x:x v="1"/>
    <x:n v="2"/>
    <x:n v="899"/>
    <x:n v="1798"/>
    <x:m/>
  </x:r>
  <x:r>
    <x:n v="46136"/>
    <x:x v="31"/>
    <x:x v="0"/>
    <x:x v="4"/>
    <x:x v="4"/>
    <x:x v="0"/>
    <x:n v="1"/>
    <x:n v="2499"/>
    <x:n v="2499"/>
    <x:m/>
  </x:r>
  <x:r>
    <x:n v="46136"/>
    <x:x v="44"/>
    <x:x v="4"/>
    <x:x v="2"/>
    <x:x v="0"/>
    <x:x v="0"/>
    <x:n v="3"/>
    <x:n v="1899"/>
    <x:n v="5697"/>
    <x:m/>
  </x:r>
  <x:r>
    <x:n v="46137"/>
    <x:x v="47"/>
    <x:x v="3"/>
    <x:x v="3"/>
    <x:x v="4"/>
    <x:x v="0"/>
    <x:n v="1"/>
    <x:n v="2499"/>
    <x:n v="2499"/>
    <x:m/>
  </x:r>
  <x:r>
    <x:n v="46138"/>
    <x:x v="4"/>
    <x:x v="0"/>
    <x:x v="3"/>
    <x:x v="5"/>
    <x:x v="1"/>
    <x:n v="3"/>
    <x:n v="1599"/>
    <x:n v="4797"/>
    <x:m/>
  </x:r>
  <x:r>
    <x:n v="46139"/>
    <x:x v="0"/>
    <x:x v="5"/>
    <x:x v="1"/>
    <x:x v="0"/>
    <x:x v="0"/>
    <x:n v="1"/>
    <x:n v="1899"/>
    <x:n v="1899"/>
    <x:m/>
  </x:r>
  <x:r>
    <x:n v="46139"/>
    <x:x v="28"/>
    <x:x v="3"/>
    <x:x v="1"/>
    <x:x v="0"/>
    <x:x v="0"/>
    <x:n v="1"/>
    <x:n v="1899"/>
    <x:n v="1899"/>
    <x:x v="1"/>
  </x:r>
  <x:r>
    <x:n v="46140"/>
    <x:x v="26"/>
    <x:x v="3"/>
    <x:x v="0"/>
    <x:x v="0"/>
    <x:x v="0"/>
    <x:n v="1"/>
    <x:n v="1899"/>
    <x:n v="1899"/>
    <x:m/>
  </x:r>
  <x:r>
    <x:n v="46141"/>
    <x:x v="5"/>
    <x:x v="5"/>
    <x:x v="4"/>
    <x:x v="0"/>
    <x:x v="0"/>
    <x:n v="2"/>
    <x:n v="1899"/>
    <x:n v="3798"/>
    <x:m/>
  </x:r>
  <x:r>
    <x:n v="46141"/>
    <x:x v="17"/>
    <x:x v="1"/>
    <x:x v="1"/>
    <x:x v="3"/>
    <x:x v="2"/>
    <x:n v="3"/>
    <x:n v="1299"/>
    <x:n v="3897"/>
    <x:m/>
  </x:r>
  <x:r>
    <x:n v="46141"/>
    <x:x v="35"/>
    <x:x v="5"/>
    <x:x v="0"/>
    <x:x v="0"/>
    <x:x v="0"/>
    <x:n v="1"/>
    <x:n v="1899"/>
    <x:n v="1899"/>
    <x:m/>
  </x:r>
  <x:r>
    <x:n v="46142"/>
    <x:x v="16"/>
    <x:x v="0"/>
    <x:x v="1"/>
    <x:x v="0"/>
    <x:x v="0"/>
    <x:n v="2"/>
    <x:n v="1899"/>
    <x:n v="3798"/>
    <x:m/>
  </x:r>
  <x:r>
    <x:n v="46142"/>
    <x:x v="19"/>
    <x:x v="0"/>
    <x:x v="1"/>
    <x:x v="2"/>
    <x:x v="2"/>
    <x:n v="1"/>
    <x:n v="499"/>
    <x:n v="499"/>
    <x:m/>
  </x:r>
  <x:r>
    <x:n v="46142"/>
    <x:x v="40"/>
    <x:x v="5"/>
    <x:x v="1"/>
    <x:x v="5"/>
    <x:x v="1"/>
    <x:n v="3"/>
    <x:n v="1599"/>
    <x:n v="4797"/>
    <x:m/>
  </x:r>
  <x:r>
    <x:n v="46143"/>
    <x:x v="56"/>
    <x:x v="2"/>
    <x:x v="2"/>
    <x:x v="0"/>
    <x:x v="0"/>
    <x:n v="1"/>
    <x:n v="1899"/>
    <x:n v="1899"/>
    <x:m/>
  </x:r>
  <x:r>
    <x:n v="46143"/>
    <x:x v="87"/>
    <x:x v="1"/>
    <x:x v="2"/>
    <x:x v="2"/>
    <x:x v="2"/>
    <x:n v="3"/>
    <x:n v="499"/>
    <x:n v="1497"/>
    <x:m/>
  </x:r>
  <x:r>
    <x:n v="46144"/>
    <x:x v="62"/>
    <x:x v="2"/>
    <x:x v="2"/>
    <x:x v="1"/>
    <x:x v="1"/>
    <x:n v="5"/>
    <x:n v="899"/>
    <x:n v="4495"/>
    <x:m/>
  </x:r>
  <x:r>
    <x:n v="46144"/>
    <x:x v="90"/>
    <x:x v="0"/>
    <x:x v="4"/>
    <x:x v="0"/>
    <x:x v="0"/>
    <x:n v="1"/>
    <x:n v="1899"/>
    <x:n v="1899"/>
    <x:m/>
  </x:r>
  <x:r>
    <x:n v="46145"/>
    <x:x v="53"/>
    <x:x v="2"/>
    <x:x v="0"/>
    <x:x v="2"/>
    <x:x v="2"/>
    <x:n v="3"/>
    <x:n v="499"/>
    <x:n v="1497"/>
    <x:m/>
  </x:r>
  <x:r>
    <x:n v="46145"/>
    <x:x v="77"/>
    <x:x v="5"/>
    <x:x v="3"/>
    <x:x v="3"/>
    <x:x v="2"/>
    <x:n v="1"/>
    <x:n v="1299"/>
    <x:n v="1299"/>
    <x:m/>
  </x:r>
  <x:r>
    <x:n v="46146"/>
    <x:x v="54"/>
    <x:x v="3"/>
    <x:x v="0"/>
    <x:x v="1"/>
    <x:x v="1"/>
    <x:n v="1"/>
    <x:n v="899"/>
    <x:n v="899"/>
    <x:m/>
  </x:r>
  <x:r>
    <x:n v="46146"/>
    <x:x v="66"/>
    <x:x v="2"/>
    <x:x v="3"/>
    <x:x v="4"/>
    <x:x v="0"/>
    <x:n v="1"/>
    <x:n v="2499"/>
    <x:n v="2499"/>
    <x:m/>
  </x:r>
  <x:r>
    <x:n v="46146"/>
    <x:x v="75"/>
    <x:x v="3"/>
    <x:x v="1"/>
    <x:x v="3"/>
    <x:x v="2"/>
    <x:n v="2"/>
    <x:n v="1299"/>
    <x:n v="2598"/>
    <x:m/>
  </x:r>
  <x:r>
    <x:n v="46146"/>
    <x:x v="105"/>
    <x:x v="4"/>
    <x:x v="1"/>
    <x:x v="4"/>
    <x:x v="0"/>
    <x:n v="2"/>
    <x:n v="2499"/>
    <x:n v="4998"/>
    <x:m/>
  </x:r>
  <x:r>
    <x:n v="46147"/>
    <x:x v="95"/>
    <x:x v="5"/>
    <x:x v="3"/>
    <x:x v="1"/>
    <x:x v="1"/>
    <x:n v="1"/>
    <x:n v="899"/>
    <x:n v="899"/>
    <x:m/>
  </x:r>
  <x:r>
    <x:n v="46148"/>
    <x:x v="70"/>
    <x:x v="5"/>
    <x:x v="0"/>
    <x:x v="1"/>
    <x:x v="1"/>
    <x:n v="1"/>
    <x:n v="899"/>
    <x:n v="899"/>
    <x:m/>
  </x:r>
  <x:r>
    <x:n v="46148"/>
    <x:x v="96"/>
    <x:x v="3"/>
    <x:x v="4"/>
    <x:x v="3"/>
    <x:x v="2"/>
    <x:n v="1"/>
    <x:n v="1299"/>
    <x:n v="1299"/>
    <x:m/>
  </x:r>
  <x:r>
    <x:n v="46149"/>
    <x:x v="68"/>
    <x:x v="4"/>
    <x:x v="1"/>
    <x:x v="0"/>
    <x:x v="0"/>
    <x:n v="2"/>
    <x:n v="1899"/>
    <x:n v="3798"/>
    <x:m/>
  </x:r>
  <x:r>
    <x:n v="46149"/>
    <x:x v="76"/>
    <x:x v="3"/>
    <x:x v="2"/>
    <x:x v="5"/>
    <x:x v="1"/>
    <x:n v="1"/>
    <x:n v="1599"/>
    <x:n v="1599"/>
    <x:m/>
  </x:r>
  <x:r>
    <x:n v="46149"/>
    <x:x v="91"/>
    <x:x v="1"/>
    <x:x v="4"/>
    <x:x v="0"/>
    <x:x v="0"/>
    <x:n v="5"/>
    <x:n v="1899"/>
    <x:n v="9495"/>
    <x:m/>
  </x:r>
  <x:r>
    <x:n v="46149"/>
    <x:x v="93"/>
    <x:x v="2"/>
    <x:x v="4"/>
    <x:x v="5"/>
    <x:x v="1"/>
    <x:n v="1"/>
    <x:n v="1599"/>
    <x:n v="1599"/>
    <x:m/>
  </x:r>
  <x:r>
    <x:n v="46150"/>
    <x:x v="57"/>
    <x:x v="1"/>
    <x:x v="4"/>
    <x:x v="4"/>
    <x:x v="0"/>
    <x:n v="1"/>
    <x:n v="2499"/>
    <x:n v="2499"/>
    <x:m/>
  </x:r>
  <x:r>
    <x:n v="46150"/>
    <x:x v="89"/>
    <x:x v="5"/>
    <x:x v="4"/>
    <x:x v="2"/>
    <x:x v="2"/>
    <x:n v="1"/>
    <x:n v="499"/>
    <x:n v="499"/>
    <x:m/>
  </x:r>
  <x:r>
    <x:n v="46151"/>
    <x:x v="83"/>
    <x:x v="5"/>
    <x:x v="1"/>
    <x:x v="1"/>
    <x:x v="1"/>
    <x:n v="3"/>
    <x:n v="899"/>
    <x:n v="2697"/>
    <x:m/>
  </x:r>
  <x:r>
    <x:n v="46151"/>
    <x:x v="84"/>
    <x:x v="0"/>
    <x:x v="3"/>
    <x:x v="3"/>
    <x:x v="2"/>
    <x:n v="1"/>
    <x:n v="1299"/>
    <x:n v="1299"/>
    <x:m/>
  </x:r>
  <x:r>
    <x:n v="46152"/>
    <x:x v="78"/>
    <x:x v="2"/>
    <x:x v="4"/>
    <x:x v="0"/>
    <x:x v="0"/>
    <x:n v="1"/>
    <x:n v="1899"/>
    <x:n v="1899"/>
    <x:m/>
  </x:r>
  <x:r>
    <x:n v="46152"/>
    <x:x v="101"/>
    <x:x v="0"/>
    <x:x v="4"/>
    <x:x v="3"/>
    <x:x v="2"/>
    <x:n v="1"/>
    <x:n v="1299"/>
    <x:n v="1299"/>
    <x:m/>
  </x:r>
  <x:r>
    <x:n v="46152"/>
    <x:x v="107"/>
    <x:x v="2"/>
    <x:x v="0"/>
    <x:x v="4"/>
    <x:x v="0"/>
    <x:n v="2"/>
    <x:n v="2499"/>
    <x:n v="4998"/>
    <x:m/>
  </x:r>
  <x:r>
    <x:n v="46153"/>
    <x:x v="74"/>
    <x:x v="5"/>
    <x:x v="0"/>
    <x:x v="1"/>
    <x:x v="1"/>
    <x:n v="1"/>
    <x:n v="899"/>
    <x:n v="899"/>
    <x:m/>
  </x:r>
  <x:r>
    <x:n v="46153"/>
    <x:x v="94"/>
    <x:x v="0"/>
    <x:x v="0"/>
    <x:x v="4"/>
    <x:x v="0"/>
    <x:n v="1"/>
    <x:n v="2499"/>
    <x:n v="2499"/>
    <x:m/>
  </x:r>
  <x:r>
    <x:n v="46153"/>
    <x:x v="108"/>
    <x:x v="3"/>
    <x:x v="2"/>
    <x:x v="1"/>
    <x:x v="1"/>
    <x:n v="5"/>
    <x:n v="899"/>
    <x:n v="4495"/>
    <x:x v="0"/>
  </x:r>
  <x:r>
    <x:n v="46153"/>
    <x:x v="109"/>
    <x:x v="3"/>
    <x:x v="0"/>
    <x:x v="3"/>
    <x:x v="2"/>
    <x:n v="1"/>
    <x:n v="1299"/>
    <x:n v="1299"/>
    <x:m/>
  </x:r>
  <x:r>
    <x:n v="46154"/>
    <x:x v="58"/>
    <x:x v="0"/>
    <x:x v="2"/>
    <x:x v="2"/>
    <x:x v="2"/>
    <x:n v="1"/>
    <x:n v="499"/>
    <x:n v="499"/>
    <x:m/>
  </x:r>
  <x:r>
    <x:n v="46154"/>
    <x:x v="80"/>
    <x:x v="5"/>
    <x:x v="1"/>
    <x:x v="0"/>
    <x:x v="0"/>
    <x:n v="1"/>
    <x:n v="1899"/>
    <x:n v="1899"/>
    <x:m/>
  </x:r>
  <x:r>
    <x:n v="46154"/>
    <x:x v="86"/>
    <x:x v="0"/>
    <x:x v="4"/>
    <x:x v="4"/>
    <x:x v="0"/>
    <x:n v="3"/>
    <x:n v="2499"/>
    <x:n v="7497"/>
    <x:x v="0"/>
  </x:r>
  <x:r>
    <x:n v="46155"/>
    <x:x v="63"/>
    <x:x v="5"/>
    <x:x v="1"/>
    <x:x v="2"/>
    <x:x v="2"/>
    <x:n v="1"/>
    <x:n v="499"/>
    <x:n v="499"/>
    <x:m/>
  </x:r>
  <x:r>
    <x:n v="46155"/>
    <x:x v="71"/>
    <x:x v="0"/>
    <x:x v="3"/>
    <x:x v="0"/>
    <x:x v="0"/>
    <x:n v="3"/>
    <x:n v="1899"/>
    <x:n v="5697"/>
    <x:m/>
  </x:r>
  <x:r>
    <x:n v="46156"/>
    <x:x v="102"/>
    <x:x v="3"/>
    <x:x v="2"/>
    <x:x v="3"/>
    <x:x v="2"/>
    <x:n v="1"/>
    <x:n v="1299"/>
    <x:n v="1299"/>
    <x:x v="0"/>
  </x:r>
  <x:r>
    <x:n v="46156"/>
    <x:x v="106"/>
    <x:x v="3"/>
    <x:x v="1"/>
    <x:x v="3"/>
    <x:x v="2"/>
    <x:n v="2"/>
    <x:n v="1299"/>
    <x:n v="2598"/>
    <x:x v="0"/>
  </x:r>
  <x:r>
    <x:n v="46158"/>
    <x:x v="72"/>
    <x:x v="2"/>
    <x:x v="3"/>
    <x:x v="3"/>
    <x:x v="2"/>
    <x:n v="1"/>
    <x:n v="1299"/>
    <x:n v="1299"/>
    <x:m/>
  </x:r>
  <x:r>
    <x:n v="46158"/>
    <x:x v="100"/>
    <x:x v="4"/>
    <x:x v="1"/>
    <x:x v="3"/>
    <x:x v="2"/>
    <x:n v="2"/>
    <x:n v="1299"/>
    <x:n v="2598"/>
    <x:x v="0"/>
  </x:r>
  <x:r>
    <x:n v="46159"/>
    <x:x v="67"/>
    <x:x v="3"/>
    <x:x v="1"/>
    <x:x v="0"/>
    <x:x v="0"/>
    <x:n v="3"/>
    <x:n v="1899"/>
    <x:n v="5697"/>
    <x:m/>
  </x:r>
  <x:r>
    <x:n v="46161"/>
    <x:x v="73"/>
    <x:x v="4"/>
    <x:x v="1"/>
    <x:x v="2"/>
    <x:x v="2"/>
    <x:n v="1"/>
    <x:n v="499"/>
    <x:n v="499"/>
    <x:m/>
  </x:r>
  <x:r>
    <x:n v="46161"/>
    <x:x v="85"/>
    <x:x v="4"/>
    <x:x v="0"/>
    <x:x v="4"/>
    <x:x v="0"/>
    <x:n v="1"/>
    <x:n v="2499"/>
    <x:n v="2499"/>
    <x:m/>
  </x:r>
  <x:r>
    <x:n v="46162"/>
    <x:x v="60"/>
    <x:x v="4"/>
    <x:x v="2"/>
    <x:x v="5"/>
    <x:x v="1"/>
    <x:n v="1"/>
    <x:n v="1599"/>
    <x:n v="1599"/>
    <x:m/>
  </x:r>
  <x:r>
    <x:n v="46162"/>
    <x:x v="64"/>
    <x:x v="3"/>
    <x:x v="4"/>
    <x:x v="5"/>
    <x:x v="1"/>
    <x:n v="1"/>
    <x:n v="1599"/>
    <x:n v="1599"/>
    <x:m/>
  </x:r>
  <x:r>
    <x:n v="46162"/>
    <x:x v="69"/>
    <x:x v="5"/>
    <x:x v="4"/>
    <x:x v="1"/>
    <x:x v="1"/>
    <x:n v="1"/>
    <x:n v="899"/>
    <x:n v="899"/>
    <x:m/>
  </x:r>
  <x:r>
    <x:n v="46163"/>
    <x:x v="81"/>
    <x:x v="4"/>
    <x:x v="2"/>
    <x:x v="5"/>
    <x:x v="1"/>
    <x:n v="3"/>
    <x:n v="1599"/>
    <x:n v="4797"/>
    <x:m/>
  </x:r>
  <x:r>
    <x:n v="46163"/>
    <x:x v="104"/>
    <x:x v="2"/>
    <x:x v="4"/>
    <x:x v="3"/>
    <x:x v="2"/>
    <x:n v="1"/>
    <x:n v="1299"/>
    <x:n v="1299"/>
    <x:m/>
  </x:r>
  <x:r>
    <x:n v="46164"/>
    <x:x v="55"/>
    <x:x v="1"/>
    <x:x v="3"/>
    <x:x v="2"/>
    <x:x v="2"/>
    <x:n v="1"/>
    <x:n v="499"/>
    <x:n v="499"/>
    <x:m/>
  </x:r>
  <x:r>
    <x:n v="46164"/>
    <x:x v="98"/>
    <x:x v="0"/>
    <x:x v="4"/>
    <x:x v="4"/>
    <x:x v="0"/>
    <x:n v="1"/>
    <x:n v="2499"/>
    <x:n v="2499"/>
    <x:m/>
  </x:r>
  <x:r>
    <x:n v="46165"/>
    <x:x v="52"/>
    <x:x v="2"/>
    <x:x v="4"/>
    <x:x v="3"/>
    <x:x v="2"/>
    <x:n v="1"/>
    <x:n v="1299"/>
    <x:n v="1299"/>
    <x:m/>
  </x:r>
  <x:r>
    <x:n v="46165"/>
    <x:x v="103"/>
    <x:x v="5"/>
    <x:x v="3"/>
    <x:x v="3"/>
    <x:x v="2"/>
    <x:n v="1"/>
    <x:n v="1299"/>
    <x:n v="1299"/>
    <x:m/>
  </x:r>
  <x:r>
    <x:n v="46166"/>
    <x:x v="65"/>
    <x:x v="5"/>
    <x:x v="3"/>
    <x:x v="0"/>
    <x:x v="0"/>
    <x:n v="3"/>
    <x:n v="1899"/>
    <x:n v="5697"/>
    <x:m/>
  </x:r>
  <x:r>
    <x:n v="46169"/>
    <x:x v="59"/>
    <x:x v="5"/>
    <x:x v="1"/>
    <x:x v="2"/>
    <x:x v="2"/>
    <x:n v="2"/>
    <x:n v="499"/>
    <x:n v="998"/>
    <x:m/>
  </x:r>
  <x:r>
    <x:n v="46169"/>
    <x:x v="97"/>
    <x:x v="2"/>
    <x:x v="3"/>
    <x:x v="3"/>
    <x:x v="2"/>
    <x:n v="1"/>
    <x:n v="1299"/>
    <x:n v="1299"/>
    <x:m/>
  </x:r>
  <x:r>
    <x:n v="46170"/>
    <x:x v="82"/>
    <x:x v="2"/>
    <x:x v="3"/>
    <x:x v="3"/>
    <x:x v="2"/>
    <x:n v="1"/>
    <x:n v="1299"/>
    <x:n v="1299"/>
    <x:m/>
  </x:r>
  <x:r>
    <x:n v="46170"/>
    <x:x v="92"/>
    <x:x v="4"/>
    <x:x v="1"/>
    <x:x v="0"/>
    <x:x v="0"/>
    <x:n v="2"/>
    <x:n v="1899"/>
    <x:n v="3798"/>
    <x:m/>
  </x:r>
  <x:r>
    <x:n v="46173"/>
    <x:x v="61"/>
    <x:x v="4"/>
    <x:x v="1"/>
    <x:x v="3"/>
    <x:x v="2"/>
    <x:n v="1"/>
    <x:n v="1299"/>
    <x:n v="1299"/>
    <x:m/>
  </x:r>
  <x:r>
    <x:n v="46173"/>
    <x:x v="79"/>
    <x:x v="3"/>
    <x:x v="2"/>
    <x:x v="3"/>
    <x:x v="2"/>
    <x:n v="2"/>
    <x:n v="1299"/>
    <x:n v="2598"/>
    <x:m/>
  </x:r>
  <x:r>
    <x:n v="46173"/>
    <x:x v="88"/>
    <x:x v="2"/>
    <x:x v="2"/>
    <x:x v="4"/>
    <x:x v="0"/>
    <x:n v="1"/>
    <x:n v="2499"/>
    <x:n v="2499"/>
    <x:m/>
  </x:r>
  <x:r>
    <x:n v="46173"/>
    <x:x v="99"/>
    <x:x v="3"/>
    <x:x v="3"/>
    <x:x v="1"/>
    <x:x v="1"/>
    <x:n v="1"/>
    <x:n v="899"/>
    <x:n v="899"/>
    <x:m/>
  </x:r>
  <x:r>
    <x:n v="46175"/>
    <x:x v="147"/>
    <x:x v="4"/>
    <x:x v="2"/>
    <x:x v="0"/>
    <x:x v="0"/>
    <x:n v="2"/>
    <x:n v="1899"/>
    <x:n v="3798"/>
    <x:x v="0"/>
  </x:r>
  <x:r>
    <x:n v="46175"/>
    <x:x v="159"/>
    <x:x v="5"/>
    <x:x v="4"/>
    <x:x v="1"/>
    <x:x v="1"/>
    <x:n v="1"/>
    <x:n v="899"/>
    <x:n v="899"/>
    <x:m/>
  </x:r>
  <x:r>
    <x:n v="46176"/>
    <x:x v="135"/>
    <x:x v="4"/>
    <x:x v="3"/>
    <x:x v="1"/>
    <x:x v="1"/>
    <x:n v="2"/>
    <x:n v="899"/>
    <x:n v="1798"/>
    <x:m/>
  </x:r>
  <x:r>
    <x:n v="46177"/>
    <x:x v="155"/>
    <x:x v="4"/>
    <x:x v="2"/>
    <x:x v="3"/>
    <x:x v="2"/>
    <x:n v="1"/>
    <x:n v="1299"/>
    <x:n v="1299"/>
    <x:m/>
  </x:r>
  <x:r>
    <x:n v="46177"/>
    <x:x v="156"/>
    <x:x v="2"/>
    <x:x v="4"/>
    <x:x v="0"/>
    <x:x v="0"/>
    <x:n v="1"/>
    <x:n v="1899"/>
    <x:n v="1899"/>
    <x:m/>
  </x:r>
  <x:r>
    <x:n v="46179"/>
    <x:x v="145"/>
    <x:x v="1"/>
    <x:x v="1"/>
    <x:x v="2"/>
    <x:x v="2"/>
    <x:n v="5"/>
    <x:n v="499"/>
    <x:n v="2495"/>
    <x:m/>
  </x:r>
  <x:r>
    <x:n v="46180"/>
    <x:x v="117"/>
    <x:x v="4"/>
    <x:x v="1"/>
    <x:x v="0"/>
    <x:x v="0"/>
    <x:n v="1"/>
    <x:n v="1899"/>
    <x:n v="1899"/>
    <x:m/>
  </x:r>
  <x:r>
    <x:n v="46180"/>
    <x:x v="122"/>
    <x:x v="2"/>
    <x:x v="1"/>
    <x:x v="0"/>
    <x:x v="0"/>
    <x:n v="1"/>
    <x:n v="1899"/>
    <x:n v="1899"/>
    <x:m/>
  </x:r>
  <x:r>
    <x:n v="46180"/>
    <x:x v="137"/>
    <x:x v="5"/>
    <x:x v="4"/>
    <x:x v="0"/>
    <x:x v="0"/>
    <x:n v="1"/>
    <x:n v="1899"/>
    <x:n v="1899"/>
    <x:x v="1"/>
  </x:r>
  <x:r>
    <x:n v="46180"/>
    <x:x v="141"/>
    <x:x v="2"/>
    <x:x v="3"/>
    <x:x v="2"/>
    <x:x v="2"/>
    <x:n v="2"/>
    <x:n v="499"/>
    <x:n v="998"/>
    <x:m/>
  </x:r>
  <x:r>
    <x:n v="46181"/>
    <x:x v="164"/>
    <x:x v="3"/>
    <x:x v="3"/>
    <x:x v="3"/>
    <x:x v="2"/>
    <x:n v="1"/>
    <x:n v="1299"/>
    <x:n v="1299"/>
    <x:m/>
  </x:r>
  <x:r>
    <x:n v="46181"/>
    <x:x v="165"/>
    <x:x v="4"/>
    <x:x v="2"/>
    <x:x v="2"/>
    <x:x v="2"/>
    <x:n v="1"/>
    <x:n v="499"/>
    <x:n v="499"/>
    <x:m/>
  </x:r>
  <x:r>
    <x:n v="46181"/>
    <x:x v="167"/>
    <x:x v="3"/>
    <x:x v="4"/>
    <x:x v="0"/>
    <x:x v="0"/>
    <x:n v="1"/>
    <x:n v="1899"/>
    <x:n v="1899"/>
    <x:m/>
  </x:r>
  <x:r>
    <x:n v="46182"/>
    <x:x v="110"/>
    <x:x v="1"/>
    <x:x v="4"/>
    <x:x v="3"/>
    <x:x v="2"/>
    <x:n v="2"/>
    <x:n v="1299"/>
    <x:n v="2598"/>
    <x:m/>
  </x:r>
  <x:r>
    <x:n v="46182"/>
    <x:x v="116"/>
    <x:x v="4"/>
    <x:x v="0"/>
    <x:x v="4"/>
    <x:x v="0"/>
    <x:n v="2"/>
    <x:n v="2499"/>
    <x:n v="4998"/>
    <x:m/>
  </x:r>
  <x:r>
    <x:n v="46182"/>
    <x:x v="123"/>
    <x:x v="0"/>
    <x:x v="0"/>
    <x:x v="0"/>
    <x:x v="0"/>
    <x:n v="2"/>
    <x:n v="1899"/>
    <x:n v="3798"/>
    <x:m/>
  </x:r>
  <x:r>
    <x:n v="46182"/>
    <x:x v="127"/>
    <x:x v="0"/>
    <x:x v="1"/>
    <x:x v="0"/>
    <x:x v="0"/>
    <x:n v="1"/>
    <x:n v="1899"/>
    <x:n v="1899"/>
    <x:m/>
  </x:r>
  <x:r>
    <x:n v="46182"/>
    <x:x v="130"/>
    <x:x v="5"/>
    <x:x v="2"/>
    <x:x v="0"/>
    <x:x v="0"/>
    <x:n v="1"/>
    <x:n v="1899"/>
    <x:n v="1899"/>
    <x:m/>
  </x:r>
  <x:r>
    <x:n v="46183"/>
    <x:x v="120"/>
    <x:x v="2"/>
    <x:x v="4"/>
    <x:x v="1"/>
    <x:x v="1"/>
    <x:n v="1"/>
    <x:n v="899"/>
    <x:n v="899"/>
    <x:m/>
  </x:r>
  <x:r>
    <x:n v="46183"/>
    <x:x v="142"/>
    <x:x v="1"/>
    <x:x v="3"/>
    <x:x v="0"/>
    <x:x v="0"/>
    <x:n v="1"/>
    <x:n v="1899"/>
    <x:n v="1899"/>
    <x:m/>
  </x:r>
  <x:r>
    <x:n v="46184"/>
    <x:x v="128"/>
    <x:x v="1"/>
    <x:x v="4"/>
    <x:x v="2"/>
    <x:x v="2"/>
    <x:n v="1"/>
    <x:n v="499"/>
    <x:n v="499"/>
    <x:m/>
  </x:r>
  <x:r>
    <x:n v="46184"/>
    <x:x v="152"/>
    <x:x v="0"/>
    <x:x v="4"/>
    <x:x v="3"/>
    <x:x v="2"/>
    <x:n v="1"/>
    <x:n v="1299"/>
    <x:n v="1299"/>
    <x:m/>
  </x:r>
  <x:r>
    <x:n v="46184"/>
    <x:x v="153"/>
    <x:x v="5"/>
    <x:x v="3"/>
    <x:x v="2"/>
    <x:x v="2"/>
    <x:n v="1"/>
    <x:n v="499"/>
    <x:n v="499"/>
    <x:m/>
  </x:r>
  <x:r>
    <x:n v="46184"/>
    <x:x v="169"/>
    <x:x v="1"/>
    <x:x v="0"/>
    <x:x v="1"/>
    <x:x v="1"/>
    <x:n v="2"/>
    <x:n v="899"/>
    <x:n v="1798"/>
    <x:m/>
  </x:r>
  <x:r>
    <x:n v="46184"/>
    <x:x v="172"/>
    <x:x v="0"/>
    <x:x v="3"/>
    <x:x v="0"/>
    <x:x v="0"/>
    <x:n v="1"/>
    <x:n v="1899"/>
    <x:n v="1899"/>
    <x:m/>
  </x:r>
  <x:r>
    <x:n v="46184"/>
    <x:x v="175"/>
    <x:x v="4"/>
    <x:x v="2"/>
    <x:x v="1"/>
    <x:x v="1"/>
    <x:n v="1"/>
    <x:n v="899"/>
    <x:n v="899"/>
    <x:m/>
  </x:r>
  <x:r>
    <x:n v="46185"/>
    <x:x v="112"/>
    <x:x v="2"/>
    <x:x v="1"/>
    <x:x v="3"/>
    <x:x v="2"/>
    <x:n v="2"/>
    <x:n v="1299"/>
    <x:n v="2598"/>
    <x:m/>
  </x:r>
  <x:r>
    <x:n v="46185"/>
    <x:x v="132"/>
    <x:x v="2"/>
    <x:x v="1"/>
    <x:x v="5"/>
    <x:x v="1"/>
    <x:n v="1"/>
    <x:n v="1599"/>
    <x:n v="1599"/>
    <x:m/>
  </x:r>
  <x:r>
    <x:n v="46185"/>
    <x:x v="157"/>
    <x:x v="4"/>
    <x:x v="1"/>
    <x:x v="2"/>
    <x:x v="2"/>
    <x:n v="5"/>
    <x:n v="499"/>
    <x:n v="2495"/>
    <x:m/>
  </x:r>
  <x:r>
    <x:n v="46186"/>
    <x:x v="143"/>
    <x:x v="3"/>
    <x:x v="0"/>
    <x:x v="4"/>
    <x:x v="0"/>
    <x:n v="1"/>
    <x:n v="2499"/>
    <x:n v="2499"/>
    <x:m/>
  </x:r>
  <x:r>
    <x:n v="46187"/>
    <x:x v="140"/>
    <x:x v="1"/>
    <x:x v="1"/>
    <x:x v="1"/>
    <x:x v="1"/>
    <x:n v="1"/>
    <x:n v="899"/>
    <x:n v="899"/>
    <x:m/>
  </x:r>
  <x:r>
    <x:n v="46188"/>
    <x:x v="111"/>
    <x:x v="5"/>
    <x:x v="2"/>
    <x:x v="5"/>
    <x:x v="1"/>
    <x:n v="1"/>
    <x:n v="1599"/>
    <x:n v="1599"/>
    <x:m/>
  </x:r>
  <x:r>
    <x:n v="46188"/>
    <x:x v="146"/>
    <x:x v="5"/>
    <x:x v="0"/>
    <x:x v="0"/>
    <x:x v="0"/>
    <x:n v="1"/>
    <x:n v="1899"/>
    <x:n v="1899"/>
    <x:m/>
  </x:r>
  <x:r>
    <x:n v="46188"/>
    <x:x v="149"/>
    <x:x v="3"/>
    <x:x v="4"/>
    <x:x v="3"/>
    <x:x v="2"/>
    <x:n v="3"/>
    <x:n v="1299"/>
    <x:n v="3897"/>
    <x:m/>
  </x:r>
  <x:r>
    <x:n v="46189"/>
    <x:x v="133"/>
    <x:x v="4"/>
    <x:x v="0"/>
    <x:x v="3"/>
    <x:x v="2"/>
    <x:n v="2"/>
    <x:n v="1299"/>
    <x:n v="2598"/>
    <x:m/>
  </x:r>
  <x:r>
    <x:n v="46189"/>
    <x:x v="136"/>
    <x:x v="3"/>
    <x:x v="0"/>
    <x:x v="0"/>
    <x:x v="0"/>
    <x:n v="1"/>
    <x:n v="1899"/>
    <x:n v="1899"/>
    <x:m/>
  </x:r>
  <x:r>
    <x:n v="46190"/>
    <x:x v="119"/>
    <x:x v="4"/>
    <x:x v="4"/>
    <x:x v="0"/>
    <x:x v="0"/>
    <x:n v="1"/>
    <x:n v="1899"/>
    <x:n v="1899"/>
    <x:m/>
  </x:r>
  <x:r>
    <x:n v="46190"/>
    <x:x v="151"/>
    <x:x v="1"/>
    <x:x v="1"/>
    <x:x v="0"/>
    <x:x v="0"/>
    <x:n v="2"/>
    <x:n v="1899"/>
    <x:n v="3798"/>
    <x:m/>
  </x:r>
  <x:r>
    <x:n v="46190"/>
    <x:x v="178"/>
    <x:x v="1"/>
    <x:x v="4"/>
    <x:x v="1"/>
    <x:x v="1"/>
    <x:n v="1"/>
    <x:n v="899"/>
    <x:n v="899"/>
    <x:m/>
  </x:r>
  <x:r>
    <x:n v="46191"/>
    <x:x v="154"/>
    <x:x v="1"/>
    <x:x v="4"/>
    <x:x v="2"/>
    <x:x v="2"/>
    <x:n v="1"/>
    <x:n v="499"/>
    <x:n v="499"/>
    <x:m/>
  </x:r>
  <x:r>
    <x:n v="46191"/>
    <x:x v="163"/>
    <x:x v="2"/>
    <x:x v="0"/>
    <x:x v="5"/>
    <x:x v="1"/>
    <x:n v="1"/>
    <x:n v="1599"/>
    <x:n v="1599"/>
    <x:m/>
  </x:r>
  <x:r>
    <x:n v="46192"/>
    <x:x v="125"/>
    <x:x v="0"/>
    <x:x v="4"/>
    <x:x v="4"/>
    <x:x v="0"/>
    <x:n v="2"/>
    <x:n v="2499"/>
    <x:n v="4998"/>
    <x:x v="1"/>
  </x:r>
  <x:r>
    <x:n v="46192"/>
    <x:x v="131"/>
    <x:x v="1"/>
    <x:x v="1"/>
    <x:x v="4"/>
    <x:x v="0"/>
    <x:n v="1"/>
    <x:n v="2499"/>
    <x:n v="2499"/>
    <x:m/>
  </x:r>
  <x:r>
    <x:n v="46192"/>
    <x:x v="138"/>
    <x:x v="3"/>
    <x:x v="3"/>
    <x:x v="4"/>
    <x:x v="0"/>
    <x:n v="1"/>
    <x:n v="2499"/>
    <x:n v="2499"/>
    <x:m/>
  </x:r>
  <x:r>
    <x:n v="46193"/>
    <x:x v="115"/>
    <x:x v="2"/>
    <x:x v="3"/>
    <x:x v="5"/>
    <x:x v="1"/>
    <x:n v="1"/>
    <x:n v="1599"/>
    <x:n v="1599"/>
    <x:m/>
  </x:r>
  <x:r>
    <x:n v="46193"/>
    <x:x v="124"/>
    <x:x v="0"/>
    <x:x v="2"/>
    <x:x v="0"/>
    <x:x v="0"/>
    <x:n v="3"/>
    <x:n v="1899"/>
    <x:n v="5697"/>
    <x:m/>
  </x:r>
  <x:r>
    <x:n v="46193"/>
    <x:x v="134"/>
    <x:x v="0"/>
    <x:x v="4"/>
    <x:x v="1"/>
    <x:x v="1"/>
    <x:n v="1"/>
    <x:n v="899"/>
    <x:n v="899"/>
    <x:m/>
  </x:r>
  <x:r>
    <x:n v="46193"/>
    <x:x v="148"/>
    <x:x v="4"/>
    <x:x v="3"/>
    <x:x v="5"/>
    <x:x v="1"/>
    <x:n v="1"/>
    <x:n v="1599"/>
    <x:n v="1599"/>
    <x:m/>
  </x:r>
  <x:r>
    <x:n v="46193"/>
    <x:x v="161"/>
    <x:x v="4"/>
    <x:x v="2"/>
    <x:x v="3"/>
    <x:x v="2"/>
    <x:n v="1"/>
    <x:n v="1299"/>
    <x:n v="1299"/>
    <x:x v="0"/>
  </x:r>
  <x:r>
    <x:n v="46194"/>
    <x:x v="113"/>
    <x:x v="0"/>
    <x:x v="3"/>
    <x:x v="3"/>
    <x:x v="2"/>
    <x:n v="2"/>
    <x:n v="1299"/>
    <x:n v="2598"/>
    <x:m/>
  </x:r>
  <x:r>
    <x:n v="46194"/>
    <x:x v="158"/>
    <x:x v="4"/>
    <x:x v="0"/>
    <x:x v="1"/>
    <x:x v="1"/>
    <x:n v="1"/>
    <x:n v="899"/>
    <x:n v="899"/>
    <x:m/>
  </x:r>
  <x:r>
    <x:n v="46194"/>
    <x:x v="160"/>
    <x:x v="0"/>
    <x:x v="3"/>
    <x:x v="3"/>
    <x:x v="2"/>
    <x:n v="1"/>
    <x:n v="1299"/>
    <x:n v="1299"/>
    <x:m/>
  </x:r>
  <x:r>
    <x:n v="46195"/>
    <x:x v="177"/>
    <x:x v="5"/>
    <x:x v="4"/>
    <x:x v="0"/>
    <x:x v="0"/>
    <x:n v="5"/>
    <x:n v="1899"/>
    <x:n v="9495"/>
    <x:m/>
  </x:r>
  <x:r>
    <x:n v="46196"/>
    <x:x v="121"/>
    <x:x v="3"/>
    <x:x v="0"/>
    <x:x v="4"/>
    <x:x v="0"/>
    <x:n v="1"/>
    <x:n v="2499"/>
    <x:n v="2499"/>
    <x:m/>
  </x:r>
  <x:r>
    <x:n v="46196"/>
    <x:x v="176"/>
    <x:x v="5"/>
    <x:x v="1"/>
    <x:x v="5"/>
    <x:x v="1"/>
    <x:n v="5"/>
    <x:n v="1599"/>
    <x:n v="7995"/>
    <x:m/>
  </x:r>
  <x:r>
    <x:n v="46197"/>
    <x:x v="129"/>
    <x:x v="4"/>
    <x:x v="1"/>
    <x:x v="3"/>
    <x:x v="2"/>
    <x:n v="1"/>
    <x:n v="1299"/>
    <x:n v="1299"/>
    <x:m/>
  </x:r>
  <x:r>
    <x:n v="46197"/>
    <x:x v="139"/>
    <x:x v="0"/>
    <x:x v="4"/>
    <x:x v="0"/>
    <x:x v="0"/>
    <x:n v="3"/>
    <x:n v="1899"/>
    <x:n v="5697"/>
    <x:m/>
  </x:r>
  <x:r>
    <x:n v="46197"/>
    <x:x v="170"/>
    <x:x v="3"/>
    <x:x v="2"/>
    <x:x v="0"/>
    <x:x v="0"/>
    <x:n v="1"/>
    <x:n v="1899"/>
    <x:n v="1899"/>
    <x:m/>
  </x:r>
  <x:r>
    <x:n v="46198"/>
    <x:x v="144"/>
    <x:x v="5"/>
    <x:x v="1"/>
    <x:x v="5"/>
    <x:x v="1"/>
    <x:n v="2"/>
    <x:n v="1599"/>
    <x:n v="3198"/>
    <x:m/>
  </x:r>
  <x:r>
    <x:n v="46198"/>
    <x:x v="168"/>
    <x:x v="3"/>
    <x:x v="2"/>
    <x:x v="2"/>
    <x:x v="2"/>
    <x:n v="1"/>
    <x:n v="499"/>
    <x:n v="499"/>
    <x:m/>
  </x:r>
  <x:r>
    <x:n v="46198"/>
    <x:x v="174"/>
    <x:x v="3"/>
    <x:x v="0"/>
    <x:x v="2"/>
    <x:x v="2"/>
    <x:n v="1"/>
    <x:n v="499"/>
    <x:n v="499"/>
    <x:m/>
  </x:r>
  <x:r>
    <x:n v="46199"/>
    <x:x v="150"/>
    <x:x v="0"/>
    <x:x v="0"/>
    <x:x v="3"/>
    <x:x v="2"/>
    <x:n v="1"/>
    <x:n v="1299"/>
    <x:n v="1299"/>
    <x:m/>
  </x:r>
  <x:r>
    <x:n v="46199"/>
    <x:x v="173"/>
    <x:x v="3"/>
    <x:x v="2"/>
    <x:x v="0"/>
    <x:x v="0"/>
    <x:n v="2"/>
    <x:n v="1899"/>
    <x:n v="3798"/>
    <x:m/>
  </x:r>
  <x:r>
    <x:n v="46200"/>
    <x:x v="114"/>
    <x:x v="5"/>
    <x:x v="0"/>
    <x:x v="5"/>
    <x:x v="1"/>
    <x:n v="1"/>
    <x:n v="1599"/>
    <x:n v="1599"/>
    <x:m/>
  </x:r>
  <x:r>
    <x:n v="46200"/>
    <x:x v="126"/>
    <x:x v="4"/>
    <x:x v="3"/>
    <x:x v="5"/>
    <x:x v="1"/>
    <x:n v="1"/>
    <x:n v="1599"/>
    <x:n v="1599"/>
    <x:m/>
  </x:r>
  <x:r>
    <x:n v="46200"/>
    <x:x v="166"/>
    <x:x v="1"/>
    <x:x v="2"/>
    <x:x v="3"/>
    <x:x v="2"/>
    <x:n v="1"/>
    <x:n v="1299"/>
    <x:n v="1299"/>
    <x:m/>
  </x:r>
  <x:r>
    <x:n v="46202"/>
    <x:x v="118"/>
    <x:x v="5"/>
    <x:x v="0"/>
    <x:x v="5"/>
    <x:x v="1"/>
    <x:n v="1"/>
    <x:n v="1599"/>
    <x:n v="1599"/>
    <x:m/>
  </x:r>
  <x:r>
    <x:n v="46202"/>
    <x:x v="162"/>
    <x:x v="1"/>
    <x:x v="1"/>
    <x:x v="1"/>
    <x:x v="1"/>
    <x:n v="1"/>
    <x:n v="899"/>
    <x:n v="899"/>
    <x:m/>
  </x:r>
  <x:r>
    <x:n v="46202"/>
    <x:x v="171"/>
    <x:x v="1"/>
    <x:x v="4"/>
    <x:x v="0"/>
    <x:x v="0"/>
    <x:n v="1"/>
    <x:n v="1899"/>
    <x:n v="1899"/>
    <x:m/>
  </x:r>
  <x:r>
    <x:n v="46203"/>
    <x:x v="179"/>
    <x:x v="2"/>
    <x:x v="4"/>
    <x:x v="0"/>
    <x:x v="0"/>
    <x:n v="1"/>
    <x:n v="1899"/>
    <x:n v="1899"/>
    <x:m/>
  </x:r>
</x: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grandTotalCaption="Grand Total" updatedVersion="4" minRefreshableVersion="3" useAutoFormatting="1" itemPrintTitles="1" createdVersion="3" indent="0" outline="1" outlineData="1" multipleFieldFilters="0" rowHeaderCaption="城市" colHeaderCaption="类别">
  <location ref="A1:E9" firstHeaderRow="1" firstDataRow="2" firstDataCol="1"/>
  <pivotFields count="10"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销售额" fld="8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zoomScale="165" workbookViewId="0"/>
  </sheetViews>
  <sheetFormatPr baseColWidth="10" defaultRowHeight="16" x14ac:dyDescent="0.2"/>
  <sheetData>
    <row r="1" spans="1:10" ht="15" x14ac:dyDescent="0.2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</row>
    <row r="2" spans="1:10" ht="15" x14ac:dyDescent="0.2">
      <c r="A2" s="1">
        <v>46113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</v>
      </c>
      <c r="H2">
        <v>1599</v>
      </c>
      <c r="I2">
        <v>1599</v>
      </c>
    </row>
    <row r="3" spans="1:10" ht="15" x14ac:dyDescent="0.2">
      <c r="A3" s="1">
        <v>46117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3</v>
      </c>
      <c r="H3">
        <v>1299</v>
      </c>
      <c r="I3">
        <v>3897</v>
      </c>
    </row>
    <row r="4" spans="1:10" ht="15" x14ac:dyDescent="0.2">
      <c r="A4" s="1">
        <v>46118</v>
      </c>
      <c r="B4" t="s">
        <v>24</v>
      </c>
      <c r="C4" t="s">
        <v>25</v>
      </c>
      <c r="D4" t="s">
        <v>26</v>
      </c>
      <c r="E4" t="s">
        <v>27</v>
      </c>
      <c r="F4" t="s">
        <v>23</v>
      </c>
      <c r="G4">
        <v>2</v>
      </c>
      <c r="H4">
        <v>499</v>
      </c>
      <c r="I4">
        <v>998</v>
      </c>
    </row>
    <row r="5" spans="1:10" ht="15" x14ac:dyDescent="0.2">
      <c r="A5" s="1">
        <v>46118</v>
      </c>
      <c r="B5" t="s">
        <v>28</v>
      </c>
      <c r="C5" t="s">
        <v>25</v>
      </c>
      <c r="D5" t="s">
        <v>26</v>
      </c>
      <c r="E5" t="s">
        <v>27</v>
      </c>
      <c r="F5" t="s">
        <v>23</v>
      </c>
      <c r="G5">
        <v>1</v>
      </c>
      <c r="H5">
        <v>499</v>
      </c>
      <c r="I5">
        <v>499</v>
      </c>
    </row>
    <row r="6" spans="1:10" ht="15" x14ac:dyDescent="0.2">
      <c r="A6" s="1">
        <v>46118</v>
      </c>
      <c r="B6" t="s">
        <v>29</v>
      </c>
      <c r="C6" t="s">
        <v>30</v>
      </c>
      <c r="D6" t="s">
        <v>26</v>
      </c>
      <c r="E6" t="s">
        <v>31</v>
      </c>
      <c r="F6" t="s">
        <v>32</v>
      </c>
      <c r="G6">
        <v>1</v>
      </c>
      <c r="H6">
        <v>2499</v>
      </c>
      <c r="I6">
        <v>2499</v>
      </c>
      <c r="J6" t="s">
        <v>33</v>
      </c>
    </row>
    <row r="7" spans="1:10" ht="15" x14ac:dyDescent="0.2">
      <c r="A7" s="1">
        <v>46119</v>
      </c>
      <c r="B7" t="s">
        <v>34</v>
      </c>
      <c r="C7" t="s">
        <v>30</v>
      </c>
      <c r="D7" t="s">
        <v>21</v>
      </c>
      <c r="E7" t="s">
        <v>35</v>
      </c>
      <c r="F7" t="s">
        <v>32</v>
      </c>
      <c r="G7">
        <v>1</v>
      </c>
      <c r="H7">
        <v>1899</v>
      </c>
      <c r="I7">
        <v>1899</v>
      </c>
    </row>
    <row r="8" spans="1:10" ht="15" x14ac:dyDescent="0.2">
      <c r="A8" s="1">
        <v>46120</v>
      </c>
      <c r="B8" t="s">
        <v>36</v>
      </c>
      <c r="C8" t="s">
        <v>25</v>
      </c>
      <c r="D8" t="s">
        <v>26</v>
      </c>
      <c r="E8" t="s">
        <v>35</v>
      </c>
      <c r="F8" t="s">
        <v>32</v>
      </c>
      <c r="G8">
        <v>2</v>
      </c>
      <c r="H8">
        <v>1899</v>
      </c>
      <c r="I8">
        <v>3798</v>
      </c>
    </row>
    <row r="9" spans="1:10" ht="15" x14ac:dyDescent="0.2">
      <c r="A9" s="1">
        <v>46120</v>
      </c>
      <c r="B9" t="s">
        <v>37</v>
      </c>
      <c r="C9" t="s">
        <v>25</v>
      </c>
      <c r="D9" t="s">
        <v>26</v>
      </c>
      <c r="E9" t="s">
        <v>27</v>
      </c>
      <c r="F9" t="s">
        <v>23</v>
      </c>
      <c r="G9">
        <v>2</v>
      </c>
      <c r="H9">
        <v>499</v>
      </c>
      <c r="I9">
        <v>998</v>
      </c>
    </row>
    <row r="10" spans="1:10" ht="15" x14ac:dyDescent="0.2">
      <c r="A10" s="1">
        <v>46120</v>
      </c>
      <c r="B10" t="s">
        <v>38</v>
      </c>
      <c r="C10" t="s">
        <v>20</v>
      </c>
      <c r="D10" t="s">
        <v>16</v>
      </c>
      <c r="E10" t="s">
        <v>27</v>
      </c>
      <c r="F10" t="s">
        <v>23</v>
      </c>
      <c r="G10">
        <v>1</v>
      </c>
      <c r="H10">
        <v>499</v>
      </c>
      <c r="I10">
        <v>499</v>
      </c>
      <c r="J10" t="s">
        <v>33</v>
      </c>
    </row>
    <row r="11" spans="1:10" ht="15" x14ac:dyDescent="0.2">
      <c r="A11" s="1">
        <v>46121</v>
      </c>
      <c r="B11" t="s">
        <v>39</v>
      </c>
      <c r="C11" t="s">
        <v>30</v>
      </c>
      <c r="D11" t="s">
        <v>16</v>
      </c>
      <c r="E11" t="s">
        <v>40</v>
      </c>
      <c r="F11" t="s">
        <v>18</v>
      </c>
      <c r="G11">
        <v>1</v>
      </c>
      <c r="H11">
        <v>899</v>
      </c>
      <c r="I11">
        <v>899</v>
      </c>
    </row>
    <row r="12" spans="1:10" ht="15" x14ac:dyDescent="0.2">
      <c r="A12" s="1">
        <v>46121</v>
      </c>
      <c r="B12" t="s">
        <v>41</v>
      </c>
      <c r="C12" t="s">
        <v>42</v>
      </c>
      <c r="D12" t="s">
        <v>21</v>
      </c>
      <c r="E12" t="s">
        <v>35</v>
      </c>
      <c r="F12" t="s">
        <v>32</v>
      </c>
      <c r="G12">
        <v>2</v>
      </c>
      <c r="H12">
        <v>1899</v>
      </c>
      <c r="I12">
        <v>3798</v>
      </c>
    </row>
    <row r="13" spans="1:10" ht="15" x14ac:dyDescent="0.2">
      <c r="A13" s="1">
        <v>46122</v>
      </c>
      <c r="B13" t="s">
        <v>43</v>
      </c>
      <c r="C13" t="s">
        <v>25</v>
      </c>
      <c r="D13" t="s">
        <v>16</v>
      </c>
      <c r="E13" t="s">
        <v>17</v>
      </c>
      <c r="F13" t="s">
        <v>18</v>
      </c>
      <c r="G13">
        <v>2</v>
      </c>
      <c r="H13">
        <v>1599</v>
      </c>
      <c r="I13">
        <v>3198</v>
      </c>
    </row>
    <row r="14" spans="1:10" ht="15" x14ac:dyDescent="0.2">
      <c r="A14" s="1">
        <v>46122</v>
      </c>
      <c r="B14" t="s">
        <v>44</v>
      </c>
      <c r="C14" t="s">
        <v>30</v>
      </c>
      <c r="D14" t="s">
        <v>45</v>
      </c>
      <c r="E14" t="s">
        <v>35</v>
      </c>
      <c r="F14" t="s">
        <v>32</v>
      </c>
      <c r="G14">
        <v>1</v>
      </c>
      <c r="H14">
        <v>1899</v>
      </c>
      <c r="I14">
        <v>1899</v>
      </c>
    </row>
    <row r="15" spans="1:10" ht="15" x14ac:dyDescent="0.2">
      <c r="A15" s="1">
        <v>46122</v>
      </c>
      <c r="B15" t="s">
        <v>46</v>
      </c>
      <c r="C15" t="s">
        <v>30</v>
      </c>
      <c r="D15" t="s">
        <v>26</v>
      </c>
      <c r="E15" t="s">
        <v>35</v>
      </c>
      <c r="F15" t="s">
        <v>32</v>
      </c>
      <c r="G15">
        <v>1</v>
      </c>
      <c r="H15">
        <v>1899</v>
      </c>
      <c r="I15">
        <v>1899</v>
      </c>
      <c r="J15" t="s">
        <v>47</v>
      </c>
    </row>
    <row r="16" spans="1:10" ht="15" x14ac:dyDescent="0.2">
      <c r="A16" s="1">
        <v>46122</v>
      </c>
      <c r="B16" t="s">
        <v>48</v>
      </c>
      <c r="C16" t="s">
        <v>25</v>
      </c>
      <c r="D16" t="s">
        <v>49</v>
      </c>
      <c r="E16" t="s">
        <v>27</v>
      </c>
      <c r="F16" t="s">
        <v>23</v>
      </c>
      <c r="G16">
        <v>1</v>
      </c>
      <c r="H16">
        <v>499</v>
      </c>
      <c r="I16">
        <v>499</v>
      </c>
    </row>
    <row r="17" spans="1:9" ht="15" x14ac:dyDescent="0.2">
      <c r="A17" s="1">
        <v>46123</v>
      </c>
      <c r="B17" t="s">
        <v>50</v>
      </c>
      <c r="C17" t="s">
        <v>15</v>
      </c>
      <c r="D17" t="s">
        <v>49</v>
      </c>
      <c r="E17" t="s">
        <v>35</v>
      </c>
      <c r="F17" t="s">
        <v>32</v>
      </c>
      <c r="G17">
        <v>2</v>
      </c>
      <c r="H17">
        <v>1899</v>
      </c>
      <c r="I17">
        <v>3798</v>
      </c>
    </row>
    <row r="18" spans="1:9" ht="15" x14ac:dyDescent="0.2">
      <c r="A18" s="1">
        <v>46123</v>
      </c>
      <c r="B18" t="s">
        <v>51</v>
      </c>
      <c r="C18" t="s">
        <v>42</v>
      </c>
      <c r="D18" t="s">
        <v>26</v>
      </c>
      <c r="E18" t="s">
        <v>17</v>
      </c>
      <c r="F18" t="s">
        <v>18</v>
      </c>
      <c r="G18">
        <v>2</v>
      </c>
      <c r="H18">
        <v>1599</v>
      </c>
      <c r="I18">
        <f>G18*H18</f>
        <v>3198</v>
      </c>
    </row>
    <row r="19" spans="1:9" ht="15" x14ac:dyDescent="0.2">
      <c r="A19" s="1">
        <v>46124</v>
      </c>
      <c r="B19" t="s">
        <v>52</v>
      </c>
      <c r="C19" t="s">
        <v>42</v>
      </c>
      <c r="D19" t="s">
        <v>45</v>
      </c>
      <c r="E19" t="s">
        <v>22</v>
      </c>
      <c r="F19" t="s">
        <v>23</v>
      </c>
      <c r="G19">
        <v>1</v>
      </c>
      <c r="H19">
        <v>1299</v>
      </c>
      <c r="I19">
        <v>1299</v>
      </c>
    </row>
    <row r="20" spans="1:9" ht="15" x14ac:dyDescent="0.2">
      <c r="A20" s="1">
        <v>46126</v>
      </c>
      <c r="B20" t="s">
        <v>53</v>
      </c>
      <c r="C20" t="s">
        <v>20</v>
      </c>
      <c r="D20" t="s">
        <v>49</v>
      </c>
      <c r="E20" t="s">
        <v>35</v>
      </c>
      <c r="F20" t="s">
        <v>32</v>
      </c>
      <c r="G20">
        <v>1</v>
      </c>
      <c r="H20">
        <v>1899</v>
      </c>
      <c r="I20">
        <v>1899</v>
      </c>
    </row>
    <row r="21" spans="1:9" ht="15" x14ac:dyDescent="0.2">
      <c r="A21" s="1">
        <v>46127</v>
      </c>
      <c r="B21" t="s">
        <v>54</v>
      </c>
      <c r="C21" t="s">
        <v>42</v>
      </c>
      <c r="D21" t="s">
        <v>26</v>
      </c>
      <c r="E21" t="s">
        <v>31</v>
      </c>
      <c r="F21" t="s">
        <v>32</v>
      </c>
      <c r="G21">
        <v>1</v>
      </c>
      <c r="H21">
        <v>2499</v>
      </c>
      <c r="I21">
        <v>2499</v>
      </c>
    </row>
    <row r="22" spans="1:9" ht="15" x14ac:dyDescent="0.2">
      <c r="A22" s="1">
        <v>46127</v>
      </c>
      <c r="B22" t="s">
        <v>55</v>
      </c>
      <c r="C22" t="s">
        <v>15</v>
      </c>
      <c r="D22" t="s">
        <v>26</v>
      </c>
      <c r="E22" t="s">
        <v>27</v>
      </c>
      <c r="F22" t="s">
        <v>23</v>
      </c>
      <c r="G22">
        <v>1</v>
      </c>
      <c r="H22">
        <v>499</v>
      </c>
      <c r="I22">
        <v>499</v>
      </c>
    </row>
    <row r="23" spans="1:9" ht="15" x14ac:dyDescent="0.2">
      <c r="A23" s="1">
        <v>46128</v>
      </c>
      <c r="B23" t="s">
        <v>56</v>
      </c>
      <c r="C23" t="s">
        <v>42</v>
      </c>
      <c r="D23" t="s">
        <v>16</v>
      </c>
      <c r="E23" t="s">
        <v>22</v>
      </c>
      <c r="F23" t="s">
        <v>23</v>
      </c>
      <c r="G23">
        <v>3</v>
      </c>
      <c r="H23">
        <v>1299</v>
      </c>
      <c r="I23">
        <v>3897</v>
      </c>
    </row>
    <row r="24" spans="1:9" ht="15" x14ac:dyDescent="0.2">
      <c r="A24" s="1">
        <v>46128</v>
      </c>
      <c r="B24" t="s">
        <v>57</v>
      </c>
      <c r="C24" t="s">
        <v>30</v>
      </c>
      <c r="D24" t="s">
        <v>16</v>
      </c>
      <c r="E24" t="s">
        <v>17</v>
      </c>
      <c r="F24" t="s">
        <v>18</v>
      </c>
      <c r="G24">
        <v>1</v>
      </c>
      <c r="H24">
        <v>1599</v>
      </c>
      <c r="I24">
        <v>1599</v>
      </c>
    </row>
    <row r="25" spans="1:9" ht="15" x14ac:dyDescent="0.2">
      <c r="A25" s="1">
        <v>46128</v>
      </c>
      <c r="B25" t="s">
        <v>58</v>
      </c>
      <c r="C25" t="s">
        <v>20</v>
      </c>
      <c r="D25" t="s">
        <v>21</v>
      </c>
      <c r="E25" t="s">
        <v>35</v>
      </c>
      <c r="F25" t="s">
        <v>32</v>
      </c>
      <c r="G25">
        <v>2</v>
      </c>
      <c r="H25">
        <v>1899</v>
      </c>
      <c r="I25">
        <v>3798</v>
      </c>
    </row>
    <row r="26" spans="1:9" ht="15" x14ac:dyDescent="0.2">
      <c r="A26" s="1">
        <v>46130</v>
      </c>
      <c r="B26" t="s">
        <v>59</v>
      </c>
      <c r="C26" t="s">
        <v>60</v>
      </c>
      <c r="D26" t="s">
        <v>26</v>
      </c>
      <c r="E26" t="s">
        <v>35</v>
      </c>
      <c r="F26" t="s">
        <v>32</v>
      </c>
      <c r="G26">
        <v>2</v>
      </c>
      <c r="H26">
        <v>1899</v>
      </c>
      <c r="I26">
        <v>3798</v>
      </c>
    </row>
    <row r="27" spans="1:9" ht="15" x14ac:dyDescent="0.2">
      <c r="A27" s="1">
        <v>46130</v>
      </c>
      <c r="B27" t="s">
        <v>61</v>
      </c>
      <c r="C27" t="s">
        <v>20</v>
      </c>
      <c r="D27" t="s">
        <v>45</v>
      </c>
      <c r="E27" t="s">
        <v>35</v>
      </c>
      <c r="F27" t="s">
        <v>32</v>
      </c>
      <c r="G27">
        <v>1</v>
      </c>
      <c r="H27">
        <v>1899</v>
      </c>
      <c r="I27">
        <v>1899</v>
      </c>
    </row>
    <row r="28" spans="1:9" ht="15" x14ac:dyDescent="0.2">
      <c r="A28" s="1">
        <v>46130</v>
      </c>
      <c r="B28" t="s">
        <v>62</v>
      </c>
      <c r="C28" t="s">
        <v>20</v>
      </c>
      <c r="D28" t="s">
        <v>49</v>
      </c>
      <c r="E28" t="s">
        <v>17</v>
      </c>
      <c r="F28" t="s">
        <v>18</v>
      </c>
      <c r="G28">
        <v>3</v>
      </c>
      <c r="H28">
        <v>1599</v>
      </c>
      <c r="I28">
        <v>4797</v>
      </c>
    </row>
    <row r="29" spans="1:9" ht="15" x14ac:dyDescent="0.2">
      <c r="A29" s="1">
        <v>46130</v>
      </c>
      <c r="B29" t="s">
        <v>63</v>
      </c>
      <c r="C29" t="s">
        <v>42</v>
      </c>
      <c r="D29" t="s">
        <v>16</v>
      </c>
      <c r="E29" t="s">
        <v>35</v>
      </c>
      <c r="F29" t="s">
        <v>32</v>
      </c>
      <c r="G29">
        <v>3</v>
      </c>
      <c r="H29">
        <v>1899</v>
      </c>
      <c r="I29">
        <v>5697</v>
      </c>
    </row>
    <row r="30" spans="1:9" ht="15" x14ac:dyDescent="0.2">
      <c r="A30" s="1">
        <v>46131</v>
      </c>
      <c r="B30" t="s">
        <v>64</v>
      </c>
      <c r="C30" t="s">
        <v>60</v>
      </c>
      <c r="D30" t="s">
        <v>21</v>
      </c>
      <c r="E30" t="s">
        <v>17</v>
      </c>
      <c r="F30" t="s">
        <v>18</v>
      </c>
      <c r="G30">
        <v>1</v>
      </c>
      <c r="H30">
        <v>1599</v>
      </c>
      <c r="I30">
        <v>1599</v>
      </c>
    </row>
    <row r="31" spans="1:9" ht="15" x14ac:dyDescent="0.2">
      <c r="A31" s="1">
        <v>46131</v>
      </c>
      <c r="B31" t="s">
        <v>65</v>
      </c>
      <c r="C31" t="s">
        <v>42</v>
      </c>
      <c r="D31" t="s">
        <v>49</v>
      </c>
      <c r="E31" t="s">
        <v>27</v>
      </c>
      <c r="F31" t="s">
        <v>23</v>
      </c>
      <c r="G31">
        <v>1</v>
      </c>
      <c r="H31">
        <v>499</v>
      </c>
      <c r="I31">
        <v>499</v>
      </c>
    </row>
    <row r="32" spans="1:9" ht="15" x14ac:dyDescent="0.2">
      <c r="A32" s="1">
        <v>46132</v>
      </c>
      <c r="B32" t="s">
        <v>66</v>
      </c>
      <c r="C32" t="s">
        <v>20</v>
      </c>
      <c r="D32" t="s">
        <v>49</v>
      </c>
      <c r="E32" t="s">
        <v>31</v>
      </c>
      <c r="F32" t="s">
        <v>32</v>
      </c>
      <c r="G32">
        <v>2</v>
      </c>
      <c r="H32">
        <v>2499</v>
      </c>
      <c r="I32">
        <v>4998</v>
      </c>
    </row>
    <row r="33" spans="1:10" ht="15" x14ac:dyDescent="0.2">
      <c r="A33" s="1">
        <v>46132</v>
      </c>
      <c r="B33" t="s">
        <v>67</v>
      </c>
      <c r="C33" t="s">
        <v>30</v>
      </c>
      <c r="D33" t="s">
        <v>49</v>
      </c>
      <c r="E33" t="s">
        <v>31</v>
      </c>
      <c r="F33" t="s">
        <v>32</v>
      </c>
      <c r="G33">
        <v>1</v>
      </c>
      <c r="H33">
        <v>2499</v>
      </c>
      <c r="I33">
        <v>2499</v>
      </c>
    </row>
    <row r="34" spans="1:10" ht="15" x14ac:dyDescent="0.2">
      <c r="A34" s="1">
        <v>46132</v>
      </c>
      <c r="B34" t="s">
        <v>68</v>
      </c>
      <c r="C34" t="s">
        <v>15</v>
      </c>
      <c r="D34" t="s">
        <v>45</v>
      </c>
      <c r="E34" t="s">
        <v>40</v>
      </c>
      <c r="F34" t="s">
        <v>18</v>
      </c>
      <c r="G34">
        <v>1</v>
      </c>
      <c r="H34">
        <v>899</v>
      </c>
      <c r="I34">
        <v>899</v>
      </c>
    </row>
    <row r="35" spans="1:10" ht="15" x14ac:dyDescent="0.2">
      <c r="A35" s="1">
        <v>46133</v>
      </c>
      <c r="B35" t="s">
        <v>69</v>
      </c>
      <c r="C35" t="s">
        <v>25</v>
      </c>
      <c r="D35" t="s">
        <v>49</v>
      </c>
      <c r="E35" t="s">
        <v>35</v>
      </c>
      <c r="F35" t="s">
        <v>32</v>
      </c>
      <c r="G35">
        <v>1</v>
      </c>
      <c r="H35">
        <v>1899</v>
      </c>
      <c r="I35">
        <v>1899</v>
      </c>
    </row>
    <row r="36" spans="1:10" ht="15" x14ac:dyDescent="0.2">
      <c r="A36" s="1">
        <v>46133</v>
      </c>
      <c r="B36" t="s">
        <v>70</v>
      </c>
      <c r="C36" t="s">
        <v>30</v>
      </c>
      <c r="D36" t="s">
        <v>45</v>
      </c>
      <c r="E36" t="s">
        <v>27</v>
      </c>
      <c r="F36" t="s">
        <v>23</v>
      </c>
      <c r="G36">
        <v>1</v>
      </c>
      <c r="H36">
        <v>499</v>
      </c>
      <c r="I36">
        <v>499</v>
      </c>
    </row>
    <row r="37" spans="1:10" ht="15" x14ac:dyDescent="0.2">
      <c r="A37" s="1">
        <v>46133</v>
      </c>
      <c r="B37" t="s">
        <v>71</v>
      </c>
      <c r="C37" t="s">
        <v>42</v>
      </c>
      <c r="D37" t="s">
        <v>26</v>
      </c>
      <c r="E37" t="s">
        <v>35</v>
      </c>
      <c r="F37" t="s">
        <v>32</v>
      </c>
      <c r="G37">
        <v>1</v>
      </c>
      <c r="H37">
        <v>1899</v>
      </c>
      <c r="I37">
        <v>1899</v>
      </c>
    </row>
    <row r="38" spans="1:10" ht="15" x14ac:dyDescent="0.2">
      <c r="A38" s="1">
        <v>46133</v>
      </c>
      <c r="B38" t="s">
        <v>72</v>
      </c>
      <c r="C38" t="s">
        <v>15</v>
      </c>
      <c r="D38" t="s">
        <v>21</v>
      </c>
      <c r="E38" t="s">
        <v>22</v>
      </c>
      <c r="F38" t="s">
        <v>23</v>
      </c>
      <c r="G38">
        <v>1</v>
      </c>
      <c r="H38">
        <v>1299</v>
      </c>
      <c r="I38">
        <v>1299</v>
      </c>
    </row>
    <row r="39" spans="1:10" ht="15" x14ac:dyDescent="0.2">
      <c r="A39" s="1">
        <v>46135</v>
      </c>
      <c r="B39" t="s">
        <v>73</v>
      </c>
      <c r="C39" t="s">
        <v>20</v>
      </c>
      <c r="D39" t="s">
        <v>49</v>
      </c>
      <c r="E39" t="s">
        <v>22</v>
      </c>
      <c r="F39" t="s">
        <v>23</v>
      </c>
      <c r="G39">
        <v>1</v>
      </c>
      <c r="H39">
        <v>1299</v>
      </c>
      <c r="I39">
        <v>1299</v>
      </c>
    </row>
    <row r="40" spans="1:10" ht="15" x14ac:dyDescent="0.2">
      <c r="A40" s="1">
        <v>46135</v>
      </c>
      <c r="B40" t="s">
        <v>74</v>
      </c>
      <c r="C40" t="s">
        <v>60</v>
      </c>
      <c r="D40" t="s">
        <v>26</v>
      </c>
      <c r="E40" t="s">
        <v>40</v>
      </c>
      <c r="F40" t="s">
        <v>18</v>
      </c>
      <c r="G40">
        <v>2</v>
      </c>
      <c r="H40">
        <v>899</v>
      </c>
      <c r="I40">
        <v>1798</v>
      </c>
    </row>
    <row r="41" spans="1:10" ht="15" x14ac:dyDescent="0.2">
      <c r="A41" s="1">
        <v>46136</v>
      </c>
      <c r="B41" t="s">
        <v>75</v>
      </c>
      <c r="C41" t="s">
        <v>15</v>
      </c>
      <c r="D41" t="s">
        <v>45</v>
      </c>
      <c r="E41" t="s">
        <v>31</v>
      </c>
      <c r="F41" t="s">
        <v>32</v>
      </c>
      <c r="G41">
        <v>1</v>
      </c>
      <c r="H41">
        <v>2499</v>
      </c>
      <c r="I41">
        <v>2499</v>
      </c>
    </row>
    <row r="42" spans="1:10" ht="15" x14ac:dyDescent="0.2">
      <c r="A42" s="1">
        <v>46136</v>
      </c>
      <c r="B42" t="s">
        <v>76</v>
      </c>
      <c r="C42" t="s">
        <v>25</v>
      </c>
      <c r="D42" t="s">
        <v>26</v>
      </c>
      <c r="E42" t="s">
        <v>35</v>
      </c>
      <c r="F42" t="s">
        <v>32</v>
      </c>
      <c r="G42">
        <v>3</v>
      </c>
      <c r="H42">
        <v>1899</v>
      </c>
      <c r="I42">
        <v>5697</v>
      </c>
    </row>
    <row r="43" spans="1:10" ht="15" x14ac:dyDescent="0.2">
      <c r="A43" s="1">
        <v>46137</v>
      </c>
      <c r="B43" t="s">
        <v>77</v>
      </c>
      <c r="C43" t="s">
        <v>30</v>
      </c>
      <c r="D43" t="s">
        <v>21</v>
      </c>
      <c r="E43" t="s">
        <v>31</v>
      </c>
      <c r="F43" t="s">
        <v>32</v>
      </c>
      <c r="G43">
        <v>1</v>
      </c>
      <c r="H43">
        <v>2499</v>
      </c>
      <c r="I43">
        <v>2499</v>
      </c>
    </row>
    <row r="44" spans="1:10" ht="15" x14ac:dyDescent="0.2">
      <c r="A44" s="1">
        <v>46138</v>
      </c>
      <c r="B44" t="s">
        <v>78</v>
      </c>
      <c r="C44" t="s">
        <v>15</v>
      </c>
      <c r="D44" t="s">
        <v>21</v>
      </c>
      <c r="E44" t="s">
        <v>17</v>
      </c>
      <c r="F44" t="s">
        <v>18</v>
      </c>
      <c r="G44">
        <v>3</v>
      </c>
      <c r="H44">
        <v>1599</v>
      </c>
      <c r="I44">
        <v>4797</v>
      </c>
    </row>
    <row r="45" spans="1:10" ht="15" x14ac:dyDescent="0.2">
      <c r="A45" s="1">
        <v>46139</v>
      </c>
      <c r="B45" t="s">
        <v>79</v>
      </c>
      <c r="C45" t="s">
        <v>20</v>
      </c>
      <c r="D45" t="s">
        <v>16</v>
      </c>
      <c r="E45" t="s">
        <v>35</v>
      </c>
      <c r="F45" t="s">
        <v>32</v>
      </c>
      <c r="G45">
        <v>1</v>
      </c>
      <c r="H45">
        <v>1899</v>
      </c>
      <c r="I45">
        <v>1899</v>
      </c>
    </row>
    <row r="46" spans="1:10" ht="15" x14ac:dyDescent="0.2">
      <c r="A46" s="1">
        <v>46139</v>
      </c>
      <c r="B46" t="s">
        <v>80</v>
      </c>
      <c r="C46" t="s">
        <v>30</v>
      </c>
      <c r="D46" t="s">
        <v>16</v>
      </c>
      <c r="E46" t="s">
        <v>35</v>
      </c>
      <c r="F46" t="s">
        <v>32</v>
      </c>
      <c r="G46">
        <v>1</v>
      </c>
      <c r="H46">
        <v>1899</v>
      </c>
      <c r="I46">
        <v>1899</v>
      </c>
      <c r="J46" t="s">
        <v>33</v>
      </c>
    </row>
    <row r="47" spans="1:10" ht="15" x14ac:dyDescent="0.2">
      <c r="A47" s="1">
        <v>46140</v>
      </c>
      <c r="B47" t="s">
        <v>81</v>
      </c>
      <c r="C47" t="s">
        <v>30</v>
      </c>
      <c r="D47" t="s">
        <v>49</v>
      </c>
      <c r="E47" t="s">
        <v>35</v>
      </c>
      <c r="F47" t="s">
        <v>32</v>
      </c>
      <c r="G47">
        <v>1</v>
      </c>
      <c r="H47">
        <v>1899</v>
      </c>
      <c r="I47">
        <v>1899</v>
      </c>
    </row>
    <row r="48" spans="1:10" ht="15" x14ac:dyDescent="0.2">
      <c r="A48" s="1">
        <v>46141</v>
      </c>
      <c r="B48" t="s">
        <v>82</v>
      </c>
      <c r="C48" t="s">
        <v>20</v>
      </c>
      <c r="D48" t="s">
        <v>45</v>
      </c>
      <c r="E48" t="s">
        <v>35</v>
      </c>
      <c r="F48" t="s">
        <v>32</v>
      </c>
      <c r="G48">
        <v>2</v>
      </c>
      <c r="H48">
        <v>1899</v>
      </c>
      <c r="I48">
        <v>3798</v>
      </c>
    </row>
    <row r="49" spans="1:9" ht="15" x14ac:dyDescent="0.2">
      <c r="A49" s="1">
        <v>46141</v>
      </c>
      <c r="B49" t="s">
        <v>83</v>
      </c>
      <c r="C49" t="s">
        <v>42</v>
      </c>
      <c r="D49" t="s">
        <v>16</v>
      </c>
      <c r="E49" t="s">
        <v>22</v>
      </c>
      <c r="F49" t="s">
        <v>23</v>
      </c>
      <c r="G49">
        <v>3</v>
      </c>
      <c r="H49">
        <v>1299</v>
      </c>
      <c r="I49">
        <v>3897</v>
      </c>
    </row>
    <row r="50" spans="1:9" ht="15" x14ac:dyDescent="0.2">
      <c r="A50" s="1">
        <v>46141</v>
      </c>
      <c r="B50" t="s">
        <v>84</v>
      </c>
      <c r="C50" t="s">
        <v>20</v>
      </c>
      <c r="D50" t="s">
        <v>49</v>
      </c>
      <c r="E50" t="s">
        <v>35</v>
      </c>
      <c r="F50" t="s">
        <v>32</v>
      </c>
      <c r="G50">
        <v>1</v>
      </c>
      <c r="H50">
        <v>1899</v>
      </c>
      <c r="I50">
        <v>1899</v>
      </c>
    </row>
    <row r="51" spans="1:9" ht="15" x14ac:dyDescent="0.2">
      <c r="A51" s="1">
        <v>46142</v>
      </c>
      <c r="B51" t="s">
        <v>85</v>
      </c>
      <c r="C51" t="s">
        <v>15</v>
      </c>
      <c r="D51" t="s">
        <v>16</v>
      </c>
      <c r="E51" t="s">
        <v>35</v>
      </c>
      <c r="F51" t="s">
        <v>32</v>
      </c>
      <c r="G51">
        <v>2</v>
      </c>
      <c r="H51">
        <v>1899</v>
      </c>
      <c r="I51">
        <v>3798</v>
      </c>
    </row>
    <row r="52" spans="1:9" ht="15" x14ac:dyDescent="0.2">
      <c r="A52" s="1">
        <v>46142</v>
      </c>
      <c r="B52" t="s">
        <v>86</v>
      </c>
      <c r="C52" t="s">
        <v>15</v>
      </c>
      <c r="D52" t="s">
        <v>16</v>
      </c>
      <c r="E52" t="s">
        <v>27</v>
      </c>
      <c r="F52" t="s">
        <v>23</v>
      </c>
      <c r="G52">
        <v>1</v>
      </c>
      <c r="H52">
        <v>499</v>
      </c>
      <c r="I52">
        <v>499</v>
      </c>
    </row>
    <row r="53" spans="1:9" ht="15" x14ac:dyDescent="0.2">
      <c r="A53" s="1">
        <v>46142</v>
      </c>
      <c r="B53" t="s">
        <v>87</v>
      </c>
      <c r="C53" t="s">
        <v>20</v>
      </c>
      <c r="D53" t="s">
        <v>16</v>
      </c>
      <c r="E53" t="s">
        <v>17</v>
      </c>
      <c r="F53" t="s">
        <v>18</v>
      </c>
      <c r="G53">
        <v>3</v>
      </c>
      <c r="H53">
        <v>1599</v>
      </c>
      <c r="I53">
        <v>4797</v>
      </c>
    </row>
    <row r="54" spans="1:9" ht="15" x14ac:dyDescent="0.2">
      <c r="A54" s="1">
        <v>46143</v>
      </c>
      <c r="B54" t="s">
        <v>88</v>
      </c>
      <c r="C54" t="s">
        <v>60</v>
      </c>
      <c r="D54" t="s">
        <v>26</v>
      </c>
      <c r="E54" t="s">
        <v>35</v>
      </c>
      <c r="F54" t="s">
        <v>32</v>
      </c>
      <c r="G54">
        <v>1</v>
      </c>
      <c r="H54">
        <v>1899</v>
      </c>
      <c r="I54">
        <v>1899</v>
      </c>
    </row>
    <row r="55" spans="1:9" ht="15" x14ac:dyDescent="0.2">
      <c r="A55" s="1">
        <v>46143</v>
      </c>
      <c r="B55" t="s">
        <v>89</v>
      </c>
      <c r="C55" t="s">
        <v>42</v>
      </c>
      <c r="D55" t="s">
        <v>26</v>
      </c>
      <c r="E55" t="s">
        <v>27</v>
      </c>
      <c r="F55" t="s">
        <v>23</v>
      </c>
      <c r="G55">
        <v>3</v>
      </c>
      <c r="H55">
        <v>499</v>
      </c>
      <c r="I55">
        <v>1497</v>
      </c>
    </row>
    <row r="56" spans="1:9" ht="15" x14ac:dyDescent="0.2">
      <c r="A56" s="1">
        <v>46144</v>
      </c>
      <c r="B56" t="s">
        <v>90</v>
      </c>
      <c r="C56" t="s">
        <v>60</v>
      </c>
      <c r="D56" t="s">
        <v>26</v>
      </c>
      <c r="E56" t="s">
        <v>40</v>
      </c>
      <c r="F56" t="s">
        <v>18</v>
      </c>
      <c r="G56">
        <v>5</v>
      </c>
      <c r="H56">
        <v>899</v>
      </c>
      <c r="I56">
        <v>4495</v>
      </c>
    </row>
    <row r="57" spans="1:9" ht="15" x14ac:dyDescent="0.2">
      <c r="A57" s="1">
        <v>46144</v>
      </c>
      <c r="B57" t="s">
        <v>91</v>
      </c>
      <c r="C57" t="s">
        <v>15</v>
      </c>
      <c r="D57" t="s">
        <v>45</v>
      </c>
      <c r="E57" t="s">
        <v>35</v>
      </c>
      <c r="F57" t="s">
        <v>32</v>
      </c>
      <c r="G57">
        <v>1</v>
      </c>
      <c r="H57">
        <v>1899</v>
      </c>
      <c r="I57">
        <v>1899</v>
      </c>
    </row>
    <row r="58" spans="1:9" ht="15" x14ac:dyDescent="0.2">
      <c r="A58" s="1">
        <v>46145</v>
      </c>
      <c r="B58" t="s">
        <v>92</v>
      </c>
      <c r="C58" t="s">
        <v>60</v>
      </c>
      <c r="D58" t="s">
        <v>49</v>
      </c>
      <c r="E58" t="s">
        <v>27</v>
      </c>
      <c r="F58" t="s">
        <v>23</v>
      </c>
      <c r="G58">
        <v>3</v>
      </c>
      <c r="H58">
        <v>499</v>
      </c>
      <c r="I58">
        <v>1497</v>
      </c>
    </row>
    <row r="59" spans="1:9" ht="15" x14ac:dyDescent="0.2">
      <c r="A59" s="1">
        <v>46145</v>
      </c>
      <c r="B59" t="s">
        <v>93</v>
      </c>
      <c r="C59" t="s">
        <v>20</v>
      </c>
      <c r="D59" t="s">
        <v>21</v>
      </c>
      <c r="E59" t="s">
        <v>22</v>
      </c>
      <c r="F59" t="s">
        <v>23</v>
      </c>
      <c r="G59">
        <v>1</v>
      </c>
      <c r="H59">
        <v>1299</v>
      </c>
      <c r="I59">
        <v>1299</v>
      </c>
    </row>
    <row r="60" spans="1:9" ht="15" x14ac:dyDescent="0.2">
      <c r="A60" s="1">
        <v>46146</v>
      </c>
      <c r="B60" t="s">
        <v>94</v>
      </c>
      <c r="C60" t="s">
        <v>30</v>
      </c>
      <c r="D60" t="s">
        <v>49</v>
      </c>
      <c r="E60" t="s">
        <v>40</v>
      </c>
      <c r="F60" t="s">
        <v>18</v>
      </c>
      <c r="G60">
        <v>1</v>
      </c>
      <c r="H60">
        <v>899</v>
      </c>
      <c r="I60">
        <v>899</v>
      </c>
    </row>
    <row r="61" spans="1:9" ht="15" x14ac:dyDescent="0.2">
      <c r="A61" s="1">
        <v>46146</v>
      </c>
      <c r="B61" t="s">
        <v>95</v>
      </c>
      <c r="C61" t="s">
        <v>60</v>
      </c>
      <c r="D61" t="s">
        <v>21</v>
      </c>
      <c r="E61" t="s">
        <v>31</v>
      </c>
      <c r="F61" t="s">
        <v>32</v>
      </c>
      <c r="G61">
        <v>1</v>
      </c>
      <c r="H61">
        <v>2499</v>
      </c>
      <c r="I61">
        <f>G61*H61</f>
        <v>2499</v>
      </c>
    </row>
    <row r="62" spans="1:9" ht="15" x14ac:dyDescent="0.2">
      <c r="A62" s="1">
        <v>46146</v>
      </c>
      <c r="B62" t="s">
        <v>96</v>
      </c>
      <c r="C62" t="s">
        <v>30</v>
      </c>
      <c r="D62" t="s">
        <v>16</v>
      </c>
      <c r="E62" t="s">
        <v>22</v>
      </c>
      <c r="F62" t="s">
        <v>23</v>
      </c>
      <c r="G62">
        <v>2</v>
      </c>
      <c r="H62">
        <v>1299</v>
      </c>
      <c r="I62">
        <v>2598</v>
      </c>
    </row>
    <row r="63" spans="1:9" ht="15" x14ac:dyDescent="0.2">
      <c r="A63" s="1">
        <v>46146</v>
      </c>
      <c r="B63" t="s">
        <v>97</v>
      </c>
      <c r="C63" t="s">
        <v>25</v>
      </c>
      <c r="D63" t="s">
        <v>16</v>
      </c>
      <c r="E63" t="s">
        <v>31</v>
      </c>
      <c r="F63" t="s">
        <v>32</v>
      </c>
      <c r="G63">
        <v>2</v>
      </c>
      <c r="H63">
        <v>2499</v>
      </c>
      <c r="I63">
        <f>G63*H63</f>
        <v>4998</v>
      </c>
    </row>
    <row r="64" spans="1:9" ht="15" x14ac:dyDescent="0.2">
      <c r="A64" s="1">
        <v>46147</v>
      </c>
      <c r="B64" t="s">
        <v>98</v>
      </c>
      <c r="C64" t="s">
        <v>20</v>
      </c>
      <c r="D64" t="s">
        <v>21</v>
      </c>
      <c r="E64" t="s">
        <v>40</v>
      </c>
      <c r="F64" t="s">
        <v>18</v>
      </c>
      <c r="G64">
        <v>1</v>
      </c>
      <c r="H64">
        <v>899</v>
      </c>
      <c r="I64">
        <v>899</v>
      </c>
    </row>
    <row r="65" spans="1:10" ht="15" x14ac:dyDescent="0.2">
      <c r="A65" s="1">
        <v>46148</v>
      </c>
      <c r="B65" t="s">
        <v>99</v>
      </c>
      <c r="C65" t="s">
        <v>20</v>
      </c>
      <c r="D65" t="s">
        <v>49</v>
      </c>
      <c r="E65" t="s">
        <v>40</v>
      </c>
      <c r="F65" t="s">
        <v>18</v>
      </c>
      <c r="G65">
        <v>1</v>
      </c>
      <c r="H65">
        <v>899</v>
      </c>
      <c r="I65">
        <v>899</v>
      </c>
    </row>
    <row r="66" spans="1:10" ht="15" x14ac:dyDescent="0.2">
      <c r="A66" s="1">
        <v>46148</v>
      </c>
      <c r="B66" t="s">
        <v>100</v>
      </c>
      <c r="C66" t="s">
        <v>30</v>
      </c>
      <c r="D66" t="s">
        <v>45</v>
      </c>
      <c r="E66" t="s">
        <v>22</v>
      </c>
      <c r="F66" t="s">
        <v>23</v>
      </c>
      <c r="G66">
        <v>1</v>
      </c>
      <c r="H66">
        <v>1299</v>
      </c>
      <c r="I66">
        <v>1299</v>
      </c>
    </row>
    <row r="67" spans="1:10" ht="15" x14ac:dyDescent="0.2">
      <c r="A67" s="1">
        <v>46149</v>
      </c>
      <c r="B67" t="s">
        <v>101</v>
      </c>
      <c r="C67" t="s">
        <v>25</v>
      </c>
      <c r="D67" t="s">
        <v>16</v>
      </c>
      <c r="E67" t="s">
        <v>35</v>
      </c>
      <c r="F67" t="s">
        <v>32</v>
      </c>
      <c r="G67">
        <v>2</v>
      </c>
      <c r="H67">
        <v>1899</v>
      </c>
      <c r="I67">
        <v>3798</v>
      </c>
    </row>
    <row r="68" spans="1:10" ht="15" x14ac:dyDescent="0.2">
      <c r="A68" s="1">
        <v>46149</v>
      </c>
      <c r="B68" t="s">
        <v>102</v>
      </c>
      <c r="C68" t="s">
        <v>30</v>
      </c>
      <c r="D68" t="s">
        <v>26</v>
      </c>
      <c r="E68" t="s">
        <v>17</v>
      </c>
      <c r="F68" t="s">
        <v>18</v>
      </c>
      <c r="G68">
        <v>1</v>
      </c>
      <c r="H68">
        <v>1599</v>
      </c>
      <c r="I68">
        <v>1599</v>
      </c>
    </row>
    <row r="69" spans="1:10" ht="15" x14ac:dyDescent="0.2">
      <c r="A69" s="1">
        <v>46149</v>
      </c>
      <c r="B69" t="s">
        <v>103</v>
      </c>
      <c r="C69" t="s">
        <v>42</v>
      </c>
      <c r="D69" t="s">
        <v>45</v>
      </c>
      <c r="E69" t="s">
        <v>35</v>
      </c>
      <c r="F69" t="s">
        <v>32</v>
      </c>
      <c r="G69">
        <v>5</v>
      </c>
      <c r="H69">
        <v>1899</v>
      </c>
      <c r="I69">
        <v>9495</v>
      </c>
    </row>
    <row r="70" spans="1:10" ht="15" x14ac:dyDescent="0.2">
      <c r="A70" s="1">
        <v>46149</v>
      </c>
      <c r="B70" t="s">
        <v>104</v>
      </c>
      <c r="C70" t="s">
        <v>60</v>
      </c>
      <c r="D70" t="s">
        <v>45</v>
      </c>
      <c r="E70" t="s">
        <v>17</v>
      </c>
      <c r="F70" t="s">
        <v>18</v>
      </c>
      <c r="G70">
        <v>1</v>
      </c>
      <c r="H70">
        <v>1599</v>
      </c>
      <c r="I70">
        <v>1599</v>
      </c>
    </row>
    <row r="71" spans="1:10" ht="15" x14ac:dyDescent="0.2">
      <c r="A71" s="1">
        <v>46150</v>
      </c>
      <c r="B71" t="s">
        <v>105</v>
      </c>
      <c r="C71" t="s">
        <v>42</v>
      </c>
      <c r="D71" t="s">
        <v>45</v>
      </c>
      <c r="E71" t="s">
        <v>31</v>
      </c>
      <c r="F71" t="s">
        <v>32</v>
      </c>
      <c r="G71">
        <v>1</v>
      </c>
      <c r="H71">
        <v>2499</v>
      </c>
      <c r="I71">
        <v>2499</v>
      </c>
    </row>
    <row r="72" spans="1:10" ht="15" x14ac:dyDescent="0.2">
      <c r="A72" s="1">
        <v>46150</v>
      </c>
      <c r="B72" t="s">
        <v>106</v>
      </c>
      <c r="C72" t="s">
        <v>20</v>
      </c>
      <c r="D72" t="s">
        <v>45</v>
      </c>
      <c r="E72" t="s">
        <v>27</v>
      </c>
      <c r="F72" t="s">
        <v>23</v>
      </c>
      <c r="G72">
        <v>1</v>
      </c>
      <c r="H72">
        <v>499</v>
      </c>
      <c r="I72">
        <v>499</v>
      </c>
    </row>
    <row r="73" spans="1:10" ht="15" x14ac:dyDescent="0.2">
      <c r="A73" s="1">
        <v>46151</v>
      </c>
      <c r="B73" t="s">
        <v>107</v>
      </c>
      <c r="C73" t="s">
        <v>20</v>
      </c>
      <c r="D73" t="s">
        <v>16</v>
      </c>
      <c r="E73" t="s">
        <v>40</v>
      </c>
      <c r="F73" t="s">
        <v>18</v>
      </c>
      <c r="G73">
        <v>3</v>
      </c>
      <c r="H73">
        <v>899</v>
      </c>
      <c r="I73">
        <v>2697</v>
      </c>
    </row>
    <row r="74" spans="1:10" ht="15" x14ac:dyDescent="0.2">
      <c r="A74" s="1">
        <v>46151</v>
      </c>
      <c r="B74" t="s">
        <v>108</v>
      </c>
      <c r="C74" t="s">
        <v>15</v>
      </c>
      <c r="D74" t="s">
        <v>21</v>
      </c>
      <c r="E74" t="s">
        <v>22</v>
      </c>
      <c r="F74" t="s">
        <v>23</v>
      </c>
      <c r="G74">
        <v>1</v>
      </c>
      <c r="H74">
        <v>1299</v>
      </c>
      <c r="I74">
        <v>1299</v>
      </c>
    </row>
    <row r="75" spans="1:10" ht="15" x14ac:dyDescent="0.2">
      <c r="A75" s="1">
        <v>46152</v>
      </c>
      <c r="B75" t="s">
        <v>109</v>
      </c>
      <c r="C75" t="s">
        <v>60</v>
      </c>
      <c r="D75" t="s">
        <v>45</v>
      </c>
      <c r="E75" t="s">
        <v>35</v>
      </c>
      <c r="F75" t="s">
        <v>32</v>
      </c>
      <c r="G75">
        <v>1</v>
      </c>
      <c r="H75">
        <v>1899</v>
      </c>
      <c r="I75">
        <v>1899</v>
      </c>
    </row>
    <row r="76" spans="1:10" ht="15" x14ac:dyDescent="0.2">
      <c r="A76" s="1">
        <v>46152</v>
      </c>
      <c r="B76" t="s">
        <v>110</v>
      </c>
      <c r="C76" t="s">
        <v>15</v>
      </c>
      <c r="D76" t="s">
        <v>45</v>
      </c>
      <c r="E76" t="s">
        <v>22</v>
      </c>
      <c r="F76" t="s">
        <v>23</v>
      </c>
      <c r="G76">
        <v>1</v>
      </c>
      <c r="H76">
        <v>1299</v>
      </c>
      <c r="I76">
        <v>1299</v>
      </c>
    </row>
    <row r="77" spans="1:10" ht="15" x14ac:dyDescent="0.2">
      <c r="A77" s="1">
        <v>46152</v>
      </c>
      <c r="B77" t="s">
        <v>111</v>
      </c>
      <c r="C77" t="s">
        <v>60</v>
      </c>
      <c r="D77" t="s">
        <v>49</v>
      </c>
      <c r="E77" t="s">
        <v>31</v>
      </c>
      <c r="F77" t="s">
        <v>32</v>
      </c>
      <c r="G77">
        <v>2</v>
      </c>
      <c r="H77">
        <v>2499</v>
      </c>
      <c r="I77">
        <v>4998</v>
      </c>
    </row>
    <row r="78" spans="1:10" ht="15" x14ac:dyDescent="0.2">
      <c r="A78" s="1">
        <v>46153</v>
      </c>
      <c r="B78" t="s">
        <v>112</v>
      </c>
      <c r="C78" t="s">
        <v>20</v>
      </c>
      <c r="D78" t="s">
        <v>49</v>
      </c>
      <c r="E78" t="s">
        <v>40</v>
      </c>
      <c r="F78" t="s">
        <v>18</v>
      </c>
      <c r="G78">
        <v>1</v>
      </c>
      <c r="H78">
        <v>899</v>
      </c>
      <c r="I78">
        <v>899</v>
      </c>
    </row>
    <row r="79" spans="1:10" ht="15" x14ac:dyDescent="0.2">
      <c r="A79" s="1">
        <v>46153</v>
      </c>
      <c r="B79" t="s">
        <v>113</v>
      </c>
      <c r="C79" t="s">
        <v>15</v>
      </c>
      <c r="D79" t="s">
        <v>49</v>
      </c>
      <c r="E79" t="s">
        <v>31</v>
      </c>
      <c r="F79" t="s">
        <v>32</v>
      </c>
      <c r="G79">
        <v>1</v>
      </c>
      <c r="H79">
        <v>2499</v>
      </c>
      <c r="I79">
        <v>2499</v>
      </c>
    </row>
    <row r="80" spans="1:10" ht="15" x14ac:dyDescent="0.2">
      <c r="A80" s="1">
        <v>46153</v>
      </c>
      <c r="B80" t="s">
        <v>114</v>
      </c>
      <c r="C80" t="s">
        <v>30</v>
      </c>
      <c r="D80" t="s">
        <v>26</v>
      </c>
      <c r="E80" t="s">
        <v>40</v>
      </c>
      <c r="F80" t="s">
        <v>18</v>
      </c>
      <c r="G80">
        <v>5</v>
      </c>
      <c r="H80">
        <v>899</v>
      </c>
      <c r="I80">
        <v>4495</v>
      </c>
      <c r="J80" t="s">
        <v>47</v>
      </c>
    </row>
    <row r="81" spans="1:10" ht="15" x14ac:dyDescent="0.2">
      <c r="A81" s="1">
        <v>46153</v>
      </c>
      <c r="B81" t="s">
        <v>115</v>
      </c>
      <c r="C81" t="s">
        <v>30</v>
      </c>
      <c r="D81" t="s">
        <v>49</v>
      </c>
      <c r="E81" t="s">
        <v>22</v>
      </c>
      <c r="F81" t="s">
        <v>23</v>
      </c>
      <c r="G81">
        <v>1</v>
      </c>
      <c r="H81">
        <v>1299</v>
      </c>
      <c r="I81">
        <v>1299</v>
      </c>
    </row>
    <row r="82" spans="1:10" ht="15" x14ac:dyDescent="0.2">
      <c r="A82" s="1">
        <v>46154</v>
      </c>
      <c r="B82" t="s">
        <v>116</v>
      </c>
      <c r="C82" t="s">
        <v>15</v>
      </c>
      <c r="D82" t="s">
        <v>26</v>
      </c>
      <c r="E82" t="s">
        <v>27</v>
      </c>
      <c r="F82" t="s">
        <v>23</v>
      </c>
      <c r="G82">
        <v>1</v>
      </c>
      <c r="H82">
        <v>499</v>
      </c>
      <c r="I82">
        <v>499</v>
      </c>
    </row>
    <row r="83" spans="1:10" ht="15" x14ac:dyDescent="0.2">
      <c r="A83" s="1">
        <v>46154</v>
      </c>
      <c r="B83" t="s">
        <v>117</v>
      </c>
      <c r="C83" t="s">
        <v>20</v>
      </c>
      <c r="D83" t="s">
        <v>16</v>
      </c>
      <c r="E83" t="s">
        <v>35</v>
      </c>
      <c r="F83" t="s">
        <v>32</v>
      </c>
      <c r="G83">
        <v>1</v>
      </c>
      <c r="H83">
        <v>1899</v>
      </c>
      <c r="I83">
        <v>1899</v>
      </c>
    </row>
    <row r="84" spans="1:10" ht="15" x14ac:dyDescent="0.2">
      <c r="A84" s="1">
        <v>46154</v>
      </c>
      <c r="B84" t="s">
        <v>118</v>
      </c>
      <c r="C84" t="s">
        <v>15</v>
      </c>
      <c r="D84" t="s">
        <v>45</v>
      </c>
      <c r="E84" t="s">
        <v>31</v>
      </c>
      <c r="F84" t="s">
        <v>32</v>
      </c>
      <c r="G84">
        <v>3</v>
      </c>
      <c r="H84">
        <v>2499</v>
      </c>
      <c r="I84">
        <v>7497</v>
      </c>
      <c r="J84" t="s">
        <v>47</v>
      </c>
    </row>
    <row r="85" spans="1:10" ht="15" x14ac:dyDescent="0.2">
      <c r="A85" s="1">
        <v>46155</v>
      </c>
      <c r="B85" t="s">
        <v>119</v>
      </c>
      <c r="C85" t="s">
        <v>20</v>
      </c>
      <c r="D85" t="s">
        <v>16</v>
      </c>
      <c r="E85" t="s">
        <v>27</v>
      </c>
      <c r="F85" t="s">
        <v>23</v>
      </c>
      <c r="G85">
        <v>1</v>
      </c>
      <c r="H85">
        <v>499</v>
      </c>
      <c r="I85">
        <v>499</v>
      </c>
    </row>
    <row r="86" spans="1:10" ht="15" x14ac:dyDescent="0.2">
      <c r="A86" s="1">
        <v>46155</v>
      </c>
      <c r="B86" t="s">
        <v>120</v>
      </c>
      <c r="C86" t="s">
        <v>15</v>
      </c>
      <c r="D86" t="s">
        <v>21</v>
      </c>
      <c r="E86" t="s">
        <v>35</v>
      </c>
      <c r="F86" t="s">
        <v>32</v>
      </c>
      <c r="G86">
        <v>3</v>
      </c>
      <c r="H86">
        <v>1899</v>
      </c>
      <c r="I86">
        <v>5697</v>
      </c>
    </row>
    <row r="87" spans="1:10" ht="15" x14ac:dyDescent="0.2">
      <c r="A87" s="1">
        <v>46156</v>
      </c>
      <c r="B87" t="s">
        <v>121</v>
      </c>
      <c r="C87" t="s">
        <v>30</v>
      </c>
      <c r="D87" t="s">
        <v>26</v>
      </c>
      <c r="E87" t="s">
        <v>22</v>
      </c>
      <c r="F87" t="s">
        <v>23</v>
      </c>
      <c r="G87">
        <v>1</v>
      </c>
      <c r="H87">
        <v>1299</v>
      </c>
      <c r="I87">
        <v>1299</v>
      </c>
      <c r="J87" t="s">
        <v>47</v>
      </c>
    </row>
    <row r="88" spans="1:10" ht="15" x14ac:dyDescent="0.2">
      <c r="A88" s="1">
        <v>46156</v>
      </c>
      <c r="B88" t="s">
        <v>122</v>
      </c>
      <c r="C88" t="s">
        <v>30</v>
      </c>
      <c r="D88" t="s">
        <v>16</v>
      </c>
      <c r="E88" t="s">
        <v>22</v>
      </c>
      <c r="F88" t="s">
        <v>23</v>
      </c>
      <c r="G88">
        <v>2</v>
      </c>
      <c r="H88">
        <v>1299</v>
      </c>
      <c r="I88">
        <v>2598</v>
      </c>
      <c r="J88" t="s">
        <v>47</v>
      </c>
    </row>
    <row r="89" spans="1:10" ht="15" x14ac:dyDescent="0.2">
      <c r="A89" s="1">
        <v>46158</v>
      </c>
      <c r="B89" t="s">
        <v>123</v>
      </c>
      <c r="C89" t="s">
        <v>60</v>
      </c>
      <c r="D89" t="s">
        <v>21</v>
      </c>
      <c r="E89" t="s">
        <v>22</v>
      </c>
      <c r="F89" t="s">
        <v>23</v>
      </c>
      <c r="G89">
        <v>1</v>
      </c>
      <c r="H89">
        <v>1299</v>
      </c>
      <c r="I89">
        <v>1299</v>
      </c>
    </row>
    <row r="90" spans="1:10" ht="15" x14ac:dyDescent="0.2">
      <c r="A90" s="1">
        <v>46158</v>
      </c>
      <c r="B90" t="s">
        <v>124</v>
      </c>
      <c r="C90" t="s">
        <v>25</v>
      </c>
      <c r="D90" t="s">
        <v>16</v>
      </c>
      <c r="E90" t="s">
        <v>22</v>
      </c>
      <c r="F90" t="s">
        <v>23</v>
      </c>
      <c r="G90">
        <v>2</v>
      </c>
      <c r="H90">
        <v>1299</v>
      </c>
      <c r="I90">
        <v>2598</v>
      </c>
      <c r="J90" t="s">
        <v>47</v>
      </c>
    </row>
    <row r="91" spans="1:10" ht="15" x14ac:dyDescent="0.2">
      <c r="A91" s="1">
        <v>46159</v>
      </c>
      <c r="B91" t="s">
        <v>125</v>
      </c>
      <c r="C91" t="s">
        <v>30</v>
      </c>
      <c r="D91" t="s">
        <v>16</v>
      </c>
      <c r="E91" t="s">
        <v>35</v>
      </c>
      <c r="F91" t="s">
        <v>32</v>
      </c>
      <c r="G91">
        <v>3</v>
      </c>
      <c r="H91">
        <v>1899</v>
      </c>
      <c r="I91">
        <v>5697</v>
      </c>
    </row>
    <row r="92" spans="1:10" ht="15" x14ac:dyDescent="0.2">
      <c r="A92" s="1">
        <v>46161</v>
      </c>
      <c r="B92" t="s">
        <v>126</v>
      </c>
      <c r="C92" t="s">
        <v>25</v>
      </c>
      <c r="D92" t="s">
        <v>16</v>
      </c>
      <c r="E92" t="s">
        <v>27</v>
      </c>
      <c r="F92" t="s">
        <v>23</v>
      </c>
      <c r="G92">
        <v>1</v>
      </c>
      <c r="H92">
        <v>499</v>
      </c>
      <c r="I92">
        <v>499</v>
      </c>
    </row>
    <row r="93" spans="1:10" ht="15" x14ac:dyDescent="0.2">
      <c r="A93" s="1">
        <v>46161</v>
      </c>
      <c r="B93" t="s">
        <v>127</v>
      </c>
      <c r="C93" t="s">
        <v>25</v>
      </c>
      <c r="D93" t="s">
        <v>49</v>
      </c>
      <c r="E93" t="s">
        <v>31</v>
      </c>
      <c r="F93" t="s">
        <v>32</v>
      </c>
      <c r="G93">
        <v>1</v>
      </c>
      <c r="H93">
        <v>2499</v>
      </c>
      <c r="I93">
        <v>2499</v>
      </c>
    </row>
    <row r="94" spans="1:10" ht="15" x14ac:dyDescent="0.2">
      <c r="A94" s="1">
        <v>46162</v>
      </c>
      <c r="B94" t="s">
        <v>128</v>
      </c>
      <c r="C94" t="s">
        <v>25</v>
      </c>
      <c r="D94" t="s">
        <v>26</v>
      </c>
      <c r="E94" t="s">
        <v>17</v>
      </c>
      <c r="F94" t="s">
        <v>18</v>
      </c>
      <c r="G94">
        <v>1</v>
      </c>
      <c r="H94">
        <v>1599</v>
      </c>
      <c r="I94">
        <v>1599</v>
      </c>
    </row>
    <row r="95" spans="1:10" ht="15" x14ac:dyDescent="0.2">
      <c r="A95" s="1">
        <v>46162</v>
      </c>
      <c r="B95" t="s">
        <v>129</v>
      </c>
      <c r="C95" t="s">
        <v>30</v>
      </c>
      <c r="D95" t="s">
        <v>45</v>
      </c>
      <c r="E95" t="s">
        <v>17</v>
      </c>
      <c r="F95" t="s">
        <v>18</v>
      </c>
      <c r="G95">
        <v>1</v>
      </c>
      <c r="H95">
        <v>1599</v>
      </c>
      <c r="I95">
        <v>1599</v>
      </c>
    </row>
    <row r="96" spans="1:10" ht="15" x14ac:dyDescent="0.2">
      <c r="A96" s="1">
        <v>46162</v>
      </c>
      <c r="B96" t="s">
        <v>130</v>
      </c>
      <c r="C96" t="s">
        <v>20</v>
      </c>
      <c r="D96" t="s">
        <v>45</v>
      </c>
      <c r="E96" t="s">
        <v>40</v>
      </c>
      <c r="F96" t="s">
        <v>18</v>
      </c>
      <c r="G96">
        <v>1</v>
      </c>
      <c r="H96">
        <v>899</v>
      </c>
      <c r="I96">
        <v>899</v>
      </c>
    </row>
    <row r="97" spans="1:10" ht="15" x14ac:dyDescent="0.2">
      <c r="A97" s="1">
        <v>46163</v>
      </c>
      <c r="B97" t="s">
        <v>131</v>
      </c>
      <c r="C97" t="s">
        <v>25</v>
      </c>
      <c r="D97" t="s">
        <v>26</v>
      </c>
      <c r="E97" t="s">
        <v>17</v>
      </c>
      <c r="F97" t="s">
        <v>18</v>
      </c>
      <c r="G97">
        <v>3</v>
      </c>
      <c r="H97">
        <v>1599</v>
      </c>
      <c r="I97">
        <v>4797</v>
      </c>
    </row>
    <row r="98" spans="1:10" ht="15" x14ac:dyDescent="0.2">
      <c r="A98" s="1">
        <v>46163</v>
      </c>
      <c r="B98" t="s">
        <v>132</v>
      </c>
      <c r="C98" t="s">
        <v>60</v>
      </c>
      <c r="D98" t="s">
        <v>45</v>
      </c>
      <c r="E98" t="s">
        <v>22</v>
      </c>
      <c r="F98" t="s">
        <v>23</v>
      </c>
      <c r="G98">
        <v>1</v>
      </c>
      <c r="H98">
        <v>1299</v>
      </c>
      <c r="I98">
        <v>1299</v>
      </c>
    </row>
    <row r="99" spans="1:10" ht="15" x14ac:dyDescent="0.2">
      <c r="A99" s="1">
        <v>46164</v>
      </c>
      <c r="B99" t="s">
        <v>133</v>
      </c>
      <c r="C99" t="s">
        <v>42</v>
      </c>
      <c r="D99" t="s">
        <v>21</v>
      </c>
      <c r="E99" t="s">
        <v>27</v>
      </c>
      <c r="F99" t="s">
        <v>23</v>
      </c>
      <c r="G99">
        <v>1</v>
      </c>
      <c r="H99">
        <v>499</v>
      </c>
      <c r="I99">
        <v>499</v>
      </c>
    </row>
    <row r="100" spans="1:10" ht="15" x14ac:dyDescent="0.2">
      <c r="A100" s="1">
        <v>46164</v>
      </c>
      <c r="B100" t="s">
        <v>134</v>
      </c>
      <c r="C100" t="s">
        <v>15</v>
      </c>
      <c r="D100" t="s">
        <v>45</v>
      </c>
      <c r="E100" t="s">
        <v>31</v>
      </c>
      <c r="F100" t="s">
        <v>32</v>
      </c>
      <c r="G100">
        <v>1</v>
      </c>
      <c r="H100">
        <v>2499</v>
      </c>
      <c r="I100">
        <v>2499</v>
      </c>
    </row>
    <row r="101" spans="1:10" ht="15" x14ac:dyDescent="0.2">
      <c r="A101" s="1">
        <v>46165</v>
      </c>
      <c r="B101" t="s">
        <v>135</v>
      </c>
      <c r="C101" t="s">
        <v>60</v>
      </c>
      <c r="D101" t="s">
        <v>45</v>
      </c>
      <c r="E101" t="s">
        <v>22</v>
      </c>
      <c r="F101" t="s">
        <v>23</v>
      </c>
      <c r="G101">
        <v>1</v>
      </c>
      <c r="H101">
        <v>1299</v>
      </c>
      <c r="I101">
        <v>1299</v>
      </c>
    </row>
    <row r="102" spans="1:10" ht="15" x14ac:dyDescent="0.2">
      <c r="A102" s="1">
        <v>46165</v>
      </c>
      <c r="B102" t="s">
        <v>136</v>
      </c>
      <c r="C102" t="s">
        <v>20</v>
      </c>
      <c r="D102" t="s">
        <v>21</v>
      </c>
      <c r="E102" t="s">
        <v>22</v>
      </c>
      <c r="F102" t="s">
        <v>23</v>
      </c>
      <c r="G102">
        <v>1</v>
      </c>
      <c r="H102">
        <v>1299</v>
      </c>
      <c r="I102">
        <v>1299</v>
      </c>
    </row>
    <row r="103" spans="1:10" ht="15" x14ac:dyDescent="0.2">
      <c r="A103" s="1">
        <v>46166</v>
      </c>
      <c r="B103" t="s">
        <v>137</v>
      </c>
      <c r="C103" t="s">
        <v>20</v>
      </c>
      <c r="D103" t="s">
        <v>21</v>
      </c>
      <c r="E103" t="s">
        <v>35</v>
      </c>
      <c r="F103" t="s">
        <v>32</v>
      </c>
      <c r="G103">
        <v>3</v>
      </c>
      <c r="H103">
        <v>1899</v>
      </c>
      <c r="I103">
        <v>5697</v>
      </c>
    </row>
    <row r="104" spans="1:10" ht="15" x14ac:dyDescent="0.2">
      <c r="A104" s="1">
        <v>46169</v>
      </c>
      <c r="B104" t="s">
        <v>138</v>
      </c>
      <c r="C104" t="s">
        <v>20</v>
      </c>
      <c r="D104" t="s">
        <v>16</v>
      </c>
      <c r="E104" t="s">
        <v>27</v>
      </c>
      <c r="F104" t="s">
        <v>23</v>
      </c>
      <c r="G104">
        <v>2</v>
      </c>
      <c r="H104">
        <v>499</v>
      </c>
      <c r="I104">
        <v>998</v>
      </c>
    </row>
    <row r="105" spans="1:10" ht="15" x14ac:dyDescent="0.2">
      <c r="A105" s="1">
        <v>46169</v>
      </c>
      <c r="B105" t="s">
        <v>139</v>
      </c>
      <c r="C105" t="s">
        <v>60</v>
      </c>
      <c r="D105" t="s">
        <v>21</v>
      </c>
      <c r="E105" t="s">
        <v>22</v>
      </c>
      <c r="F105" t="s">
        <v>23</v>
      </c>
      <c r="G105">
        <v>1</v>
      </c>
      <c r="H105">
        <v>1299</v>
      </c>
      <c r="I105">
        <v>1299</v>
      </c>
    </row>
    <row r="106" spans="1:10" ht="15" x14ac:dyDescent="0.2">
      <c r="A106" s="1">
        <v>46170</v>
      </c>
      <c r="B106" t="s">
        <v>140</v>
      </c>
      <c r="C106" t="s">
        <v>60</v>
      </c>
      <c r="D106" t="s">
        <v>21</v>
      </c>
      <c r="E106" t="s">
        <v>22</v>
      </c>
      <c r="F106" t="s">
        <v>23</v>
      </c>
      <c r="G106">
        <v>1</v>
      </c>
      <c r="H106">
        <v>1299</v>
      </c>
      <c r="I106">
        <f>G106*H106</f>
        <v>1299</v>
      </c>
    </row>
    <row r="107" spans="1:10" ht="15" x14ac:dyDescent="0.2">
      <c r="A107" s="1">
        <v>46170</v>
      </c>
      <c r="B107" t="s">
        <v>141</v>
      </c>
      <c r="C107" t="s">
        <v>25</v>
      </c>
      <c r="D107" t="s">
        <v>16</v>
      </c>
      <c r="E107" t="s">
        <v>35</v>
      </c>
      <c r="F107" t="s">
        <v>32</v>
      </c>
      <c r="G107">
        <v>2</v>
      </c>
      <c r="H107">
        <v>1899</v>
      </c>
      <c r="I107">
        <v>3798</v>
      </c>
    </row>
    <row r="108" spans="1:10" ht="15" x14ac:dyDescent="0.2">
      <c r="A108" s="1">
        <v>46173</v>
      </c>
      <c r="B108" t="s">
        <v>142</v>
      </c>
      <c r="C108" t="s">
        <v>25</v>
      </c>
      <c r="D108" t="s">
        <v>16</v>
      </c>
      <c r="E108" t="s">
        <v>22</v>
      </c>
      <c r="F108" t="s">
        <v>23</v>
      </c>
      <c r="G108">
        <v>1</v>
      </c>
      <c r="H108">
        <v>1299</v>
      </c>
      <c r="I108">
        <v>1299</v>
      </c>
    </row>
    <row r="109" spans="1:10" ht="15" x14ac:dyDescent="0.2">
      <c r="A109" s="1">
        <v>46173</v>
      </c>
      <c r="B109" t="s">
        <v>143</v>
      </c>
      <c r="C109" t="s">
        <v>30</v>
      </c>
      <c r="D109" t="s">
        <v>26</v>
      </c>
      <c r="E109" t="s">
        <v>22</v>
      </c>
      <c r="F109" t="s">
        <v>23</v>
      </c>
      <c r="G109">
        <v>2</v>
      </c>
      <c r="H109">
        <v>1299</v>
      </c>
      <c r="I109">
        <v>2598</v>
      </c>
    </row>
    <row r="110" spans="1:10" ht="15" x14ac:dyDescent="0.2">
      <c r="A110" s="1">
        <v>46173</v>
      </c>
      <c r="B110" t="s">
        <v>144</v>
      </c>
      <c r="C110" t="s">
        <v>60</v>
      </c>
      <c r="D110" t="s">
        <v>26</v>
      </c>
      <c r="E110" t="s">
        <v>31</v>
      </c>
      <c r="F110" t="s">
        <v>32</v>
      </c>
      <c r="G110">
        <v>1</v>
      </c>
      <c r="H110">
        <v>2499</v>
      </c>
      <c r="I110">
        <v>2499</v>
      </c>
    </row>
    <row r="111" spans="1:10" ht="15" x14ac:dyDescent="0.2">
      <c r="A111" s="1">
        <v>46173</v>
      </c>
      <c r="B111" t="s">
        <v>145</v>
      </c>
      <c r="C111" t="s">
        <v>30</v>
      </c>
      <c r="D111" t="s">
        <v>21</v>
      </c>
      <c r="E111" t="s">
        <v>40</v>
      </c>
      <c r="F111" t="s">
        <v>18</v>
      </c>
      <c r="G111">
        <v>1</v>
      </c>
      <c r="H111">
        <v>899</v>
      </c>
      <c r="I111">
        <v>899</v>
      </c>
    </row>
    <row r="112" spans="1:10" ht="15" x14ac:dyDescent="0.2">
      <c r="A112" s="1">
        <v>46175</v>
      </c>
      <c r="B112" t="s">
        <v>146</v>
      </c>
      <c r="C112" t="s">
        <v>25</v>
      </c>
      <c r="D112" t="s">
        <v>26</v>
      </c>
      <c r="E112" t="s">
        <v>35</v>
      </c>
      <c r="F112" t="s">
        <v>32</v>
      </c>
      <c r="G112">
        <v>2</v>
      </c>
      <c r="H112">
        <v>1899</v>
      </c>
      <c r="I112">
        <v>3798</v>
      </c>
      <c r="J112" t="s">
        <v>47</v>
      </c>
    </row>
    <row r="113" spans="1:10" ht="15" x14ac:dyDescent="0.2">
      <c r="A113" s="1">
        <v>46175</v>
      </c>
      <c r="B113" t="s">
        <v>147</v>
      </c>
      <c r="C113" t="s">
        <v>20</v>
      </c>
      <c r="D113" t="s">
        <v>45</v>
      </c>
      <c r="E113" t="s">
        <v>40</v>
      </c>
      <c r="F113" t="s">
        <v>18</v>
      </c>
      <c r="G113">
        <v>1</v>
      </c>
      <c r="H113">
        <v>899</v>
      </c>
      <c r="I113">
        <v>899</v>
      </c>
    </row>
    <row r="114" spans="1:10" ht="15" x14ac:dyDescent="0.2">
      <c r="A114" s="1">
        <v>46176</v>
      </c>
      <c r="B114" t="s">
        <v>148</v>
      </c>
      <c r="C114" t="s">
        <v>25</v>
      </c>
      <c r="D114" t="s">
        <v>21</v>
      </c>
      <c r="E114" t="s">
        <v>40</v>
      </c>
      <c r="F114" t="s">
        <v>18</v>
      </c>
      <c r="G114">
        <v>2</v>
      </c>
      <c r="H114">
        <v>899</v>
      </c>
      <c r="I114">
        <v>1798</v>
      </c>
    </row>
    <row r="115" spans="1:10" ht="15" x14ac:dyDescent="0.2">
      <c r="A115" s="1">
        <v>46177</v>
      </c>
      <c r="B115" t="s">
        <v>149</v>
      </c>
      <c r="C115" t="s">
        <v>25</v>
      </c>
      <c r="D115" t="s">
        <v>26</v>
      </c>
      <c r="E115" t="s">
        <v>22</v>
      </c>
      <c r="F115" t="s">
        <v>23</v>
      </c>
      <c r="G115">
        <v>1</v>
      </c>
      <c r="H115">
        <v>1299</v>
      </c>
      <c r="I115">
        <v>1299</v>
      </c>
    </row>
    <row r="116" spans="1:10" ht="15" x14ac:dyDescent="0.2">
      <c r="A116" s="1">
        <v>46177</v>
      </c>
      <c r="B116" t="s">
        <v>150</v>
      </c>
      <c r="C116" t="s">
        <v>60</v>
      </c>
      <c r="D116" t="s">
        <v>45</v>
      </c>
      <c r="E116" t="s">
        <v>35</v>
      </c>
      <c r="F116" t="s">
        <v>32</v>
      </c>
      <c r="G116">
        <v>1</v>
      </c>
      <c r="H116">
        <v>1899</v>
      </c>
      <c r="I116">
        <v>1899</v>
      </c>
    </row>
    <row r="117" spans="1:10" ht="15" x14ac:dyDescent="0.2">
      <c r="A117" s="1">
        <v>46179</v>
      </c>
      <c r="B117" t="s">
        <v>151</v>
      </c>
      <c r="C117" t="s">
        <v>42</v>
      </c>
      <c r="D117" t="s">
        <v>16</v>
      </c>
      <c r="E117" t="s">
        <v>27</v>
      </c>
      <c r="F117" t="s">
        <v>23</v>
      </c>
      <c r="G117">
        <v>5</v>
      </c>
      <c r="H117">
        <v>499</v>
      </c>
      <c r="I117">
        <v>2495</v>
      </c>
    </row>
    <row r="118" spans="1:10" ht="15" x14ac:dyDescent="0.2">
      <c r="A118" s="1">
        <v>46180</v>
      </c>
      <c r="B118" t="s">
        <v>152</v>
      </c>
      <c r="C118" t="s">
        <v>25</v>
      </c>
      <c r="D118" t="s">
        <v>16</v>
      </c>
      <c r="E118" t="s">
        <v>35</v>
      </c>
      <c r="F118" t="s">
        <v>32</v>
      </c>
      <c r="G118">
        <v>1</v>
      </c>
      <c r="H118">
        <v>1899</v>
      </c>
      <c r="I118">
        <v>1899</v>
      </c>
    </row>
    <row r="119" spans="1:10" ht="15" x14ac:dyDescent="0.2">
      <c r="A119" s="1">
        <v>46180</v>
      </c>
      <c r="B119" t="s">
        <v>153</v>
      </c>
      <c r="C119" t="s">
        <v>60</v>
      </c>
      <c r="D119" t="s">
        <v>16</v>
      </c>
      <c r="E119" t="s">
        <v>35</v>
      </c>
      <c r="F119" t="s">
        <v>32</v>
      </c>
      <c r="G119">
        <v>1</v>
      </c>
      <c r="H119">
        <v>1899</v>
      </c>
      <c r="I119">
        <v>1899</v>
      </c>
    </row>
    <row r="120" spans="1:10" ht="15" x14ac:dyDescent="0.2">
      <c r="A120" s="1">
        <v>46180</v>
      </c>
      <c r="B120" t="s">
        <v>154</v>
      </c>
      <c r="C120" t="s">
        <v>20</v>
      </c>
      <c r="D120" t="s">
        <v>45</v>
      </c>
      <c r="E120" t="s">
        <v>35</v>
      </c>
      <c r="F120" t="s">
        <v>32</v>
      </c>
      <c r="G120">
        <v>1</v>
      </c>
      <c r="H120">
        <v>1899</v>
      </c>
      <c r="I120">
        <v>1899</v>
      </c>
      <c r="J120" t="s">
        <v>33</v>
      </c>
    </row>
    <row r="121" spans="1:10" ht="15" x14ac:dyDescent="0.2">
      <c r="A121" s="1">
        <v>46180</v>
      </c>
      <c r="B121" t="s">
        <v>155</v>
      </c>
      <c r="C121" t="s">
        <v>60</v>
      </c>
      <c r="D121" t="s">
        <v>21</v>
      </c>
      <c r="E121" t="s">
        <v>27</v>
      </c>
      <c r="F121" t="s">
        <v>23</v>
      </c>
      <c r="G121">
        <v>2</v>
      </c>
      <c r="H121">
        <v>499</v>
      </c>
      <c r="I121">
        <v>998</v>
      </c>
    </row>
    <row r="122" spans="1:10" ht="15" x14ac:dyDescent="0.2">
      <c r="A122" s="1">
        <v>46181</v>
      </c>
      <c r="B122" t="s">
        <v>156</v>
      </c>
      <c r="C122" t="s">
        <v>30</v>
      </c>
      <c r="D122" t="s">
        <v>21</v>
      </c>
      <c r="E122" t="s">
        <v>22</v>
      </c>
      <c r="F122" t="s">
        <v>23</v>
      </c>
      <c r="G122">
        <v>1</v>
      </c>
      <c r="H122">
        <v>1299</v>
      </c>
      <c r="I122">
        <v>1299</v>
      </c>
    </row>
    <row r="123" spans="1:10" ht="15" x14ac:dyDescent="0.2">
      <c r="A123" s="1">
        <v>46181</v>
      </c>
      <c r="B123" t="s">
        <v>157</v>
      </c>
      <c r="C123" t="s">
        <v>25</v>
      </c>
      <c r="D123" t="s">
        <v>26</v>
      </c>
      <c r="E123" t="s">
        <v>27</v>
      </c>
      <c r="F123" t="s">
        <v>23</v>
      </c>
      <c r="G123">
        <v>1</v>
      </c>
      <c r="H123">
        <v>499</v>
      </c>
      <c r="I123">
        <v>499</v>
      </c>
    </row>
    <row r="124" spans="1:10" ht="15" x14ac:dyDescent="0.2">
      <c r="A124" s="1">
        <v>46181</v>
      </c>
      <c r="B124" t="s">
        <v>158</v>
      </c>
      <c r="C124" t="s">
        <v>30</v>
      </c>
      <c r="D124" t="s">
        <v>45</v>
      </c>
      <c r="E124" t="s">
        <v>35</v>
      </c>
      <c r="F124" t="s">
        <v>32</v>
      </c>
      <c r="G124">
        <v>1</v>
      </c>
      <c r="H124">
        <v>1899</v>
      </c>
      <c r="I124">
        <v>1899</v>
      </c>
    </row>
    <row r="125" spans="1:10" ht="15" x14ac:dyDescent="0.2">
      <c r="A125" s="1">
        <v>46182</v>
      </c>
      <c r="B125" t="s">
        <v>159</v>
      </c>
      <c r="C125" t="s">
        <v>42</v>
      </c>
      <c r="D125" t="s">
        <v>45</v>
      </c>
      <c r="E125" t="s">
        <v>22</v>
      </c>
      <c r="F125" t="s">
        <v>23</v>
      </c>
      <c r="G125">
        <v>2</v>
      </c>
      <c r="H125">
        <v>1299</v>
      </c>
      <c r="I125">
        <v>2598</v>
      </c>
    </row>
    <row r="126" spans="1:10" ht="15" x14ac:dyDescent="0.2">
      <c r="A126" s="1">
        <v>46182</v>
      </c>
      <c r="B126" t="s">
        <v>160</v>
      </c>
      <c r="C126" t="s">
        <v>25</v>
      </c>
      <c r="D126" t="s">
        <v>49</v>
      </c>
      <c r="E126" t="s">
        <v>31</v>
      </c>
      <c r="F126" t="s">
        <v>32</v>
      </c>
      <c r="G126">
        <v>2</v>
      </c>
      <c r="H126">
        <v>2499</v>
      </c>
      <c r="I126">
        <v>4998</v>
      </c>
    </row>
    <row r="127" spans="1:10" ht="15" x14ac:dyDescent="0.2">
      <c r="A127" s="1">
        <v>46182</v>
      </c>
      <c r="B127" t="s">
        <v>161</v>
      </c>
      <c r="C127" t="s">
        <v>15</v>
      </c>
      <c r="D127" t="s">
        <v>49</v>
      </c>
      <c r="E127" t="s">
        <v>35</v>
      </c>
      <c r="F127" t="s">
        <v>32</v>
      </c>
      <c r="G127">
        <v>2</v>
      </c>
      <c r="H127">
        <v>1899</v>
      </c>
      <c r="I127">
        <v>3798</v>
      </c>
    </row>
    <row r="128" spans="1:10" ht="15" x14ac:dyDescent="0.2">
      <c r="A128" s="1">
        <v>46182</v>
      </c>
      <c r="B128" t="s">
        <v>162</v>
      </c>
      <c r="C128" t="s">
        <v>15</v>
      </c>
      <c r="D128" t="s">
        <v>16</v>
      </c>
      <c r="E128" t="s">
        <v>35</v>
      </c>
      <c r="F128" t="s">
        <v>32</v>
      </c>
      <c r="G128">
        <v>1</v>
      </c>
      <c r="H128">
        <v>1899</v>
      </c>
      <c r="I128">
        <v>1899</v>
      </c>
    </row>
    <row r="129" spans="1:9" ht="15" x14ac:dyDescent="0.2">
      <c r="A129" s="1">
        <v>46182</v>
      </c>
      <c r="B129" t="s">
        <v>163</v>
      </c>
      <c r="C129" t="s">
        <v>20</v>
      </c>
      <c r="D129" t="s">
        <v>26</v>
      </c>
      <c r="E129" t="s">
        <v>35</v>
      </c>
      <c r="F129" t="s">
        <v>32</v>
      </c>
      <c r="G129">
        <v>1</v>
      </c>
      <c r="H129">
        <v>1899</v>
      </c>
      <c r="I129">
        <f>G129*H129</f>
        <v>1899</v>
      </c>
    </row>
    <row r="130" spans="1:9" ht="15" x14ac:dyDescent="0.2">
      <c r="A130" s="1">
        <v>46183</v>
      </c>
      <c r="B130" t="s">
        <v>164</v>
      </c>
      <c r="C130" t="s">
        <v>60</v>
      </c>
      <c r="D130" t="s">
        <v>45</v>
      </c>
      <c r="E130" t="s">
        <v>40</v>
      </c>
      <c r="F130" t="s">
        <v>18</v>
      </c>
      <c r="G130">
        <v>1</v>
      </c>
      <c r="H130">
        <v>899</v>
      </c>
      <c r="I130">
        <v>899</v>
      </c>
    </row>
    <row r="131" spans="1:9" ht="15" x14ac:dyDescent="0.2">
      <c r="A131" s="1">
        <v>46183</v>
      </c>
      <c r="B131" t="s">
        <v>165</v>
      </c>
      <c r="C131" t="s">
        <v>42</v>
      </c>
      <c r="D131" t="s">
        <v>21</v>
      </c>
      <c r="E131" t="s">
        <v>35</v>
      </c>
      <c r="F131" t="s">
        <v>32</v>
      </c>
      <c r="G131">
        <v>1</v>
      </c>
      <c r="H131">
        <v>1899</v>
      </c>
      <c r="I131">
        <v>1899</v>
      </c>
    </row>
    <row r="132" spans="1:9" ht="15" x14ac:dyDescent="0.2">
      <c r="A132" s="1">
        <v>46184</v>
      </c>
      <c r="B132" t="s">
        <v>166</v>
      </c>
      <c r="C132" t="s">
        <v>42</v>
      </c>
      <c r="D132" t="s">
        <v>45</v>
      </c>
      <c r="E132" t="s">
        <v>27</v>
      </c>
      <c r="F132" t="s">
        <v>23</v>
      </c>
      <c r="G132">
        <v>1</v>
      </c>
      <c r="H132">
        <v>499</v>
      </c>
      <c r="I132">
        <v>499</v>
      </c>
    </row>
    <row r="133" spans="1:9" ht="15" x14ac:dyDescent="0.2">
      <c r="A133" s="1">
        <v>46184</v>
      </c>
      <c r="B133" t="s">
        <v>167</v>
      </c>
      <c r="C133" t="s">
        <v>15</v>
      </c>
      <c r="D133" t="s">
        <v>45</v>
      </c>
      <c r="E133" t="s">
        <v>22</v>
      </c>
      <c r="F133" t="s">
        <v>23</v>
      </c>
      <c r="G133">
        <v>1</v>
      </c>
      <c r="H133">
        <v>1299</v>
      </c>
      <c r="I133">
        <v>1299</v>
      </c>
    </row>
    <row r="134" spans="1:9" ht="15" x14ac:dyDescent="0.2">
      <c r="A134" s="1">
        <v>46184</v>
      </c>
      <c r="B134" t="s">
        <v>168</v>
      </c>
      <c r="C134" t="s">
        <v>20</v>
      </c>
      <c r="D134" t="s">
        <v>21</v>
      </c>
      <c r="E134" t="s">
        <v>27</v>
      </c>
      <c r="F134" t="s">
        <v>23</v>
      </c>
      <c r="G134">
        <v>1</v>
      </c>
      <c r="H134">
        <v>499</v>
      </c>
      <c r="I134">
        <v>499</v>
      </c>
    </row>
    <row r="135" spans="1:9" ht="15" x14ac:dyDescent="0.2">
      <c r="A135" s="1">
        <v>46184</v>
      </c>
      <c r="B135" t="s">
        <v>169</v>
      </c>
      <c r="C135" t="s">
        <v>42</v>
      </c>
      <c r="D135" t="s">
        <v>49</v>
      </c>
      <c r="E135" t="s">
        <v>40</v>
      </c>
      <c r="F135" t="s">
        <v>18</v>
      </c>
      <c r="G135">
        <v>2</v>
      </c>
      <c r="H135">
        <v>899</v>
      </c>
      <c r="I135">
        <v>1798</v>
      </c>
    </row>
    <row r="136" spans="1:9" ht="15" x14ac:dyDescent="0.2">
      <c r="A136" s="1">
        <v>46184</v>
      </c>
      <c r="B136" t="s">
        <v>170</v>
      </c>
      <c r="C136" t="s">
        <v>15</v>
      </c>
      <c r="D136" t="s">
        <v>21</v>
      </c>
      <c r="E136" t="s">
        <v>35</v>
      </c>
      <c r="F136" t="s">
        <v>32</v>
      </c>
      <c r="G136">
        <v>1</v>
      </c>
      <c r="H136">
        <v>1899</v>
      </c>
      <c r="I136">
        <v>1899</v>
      </c>
    </row>
    <row r="137" spans="1:9" ht="15" x14ac:dyDescent="0.2">
      <c r="A137" s="1">
        <v>46184</v>
      </c>
      <c r="B137" t="s">
        <v>171</v>
      </c>
      <c r="C137" t="s">
        <v>25</v>
      </c>
      <c r="D137" t="s">
        <v>26</v>
      </c>
      <c r="E137" t="s">
        <v>40</v>
      </c>
      <c r="F137" t="s">
        <v>18</v>
      </c>
      <c r="G137">
        <v>1</v>
      </c>
      <c r="H137">
        <v>899</v>
      </c>
      <c r="I137">
        <v>899</v>
      </c>
    </row>
    <row r="138" spans="1:9" ht="15" x14ac:dyDescent="0.2">
      <c r="A138" s="1">
        <v>46185</v>
      </c>
      <c r="B138" t="s">
        <v>172</v>
      </c>
      <c r="C138" t="s">
        <v>60</v>
      </c>
      <c r="D138" t="s">
        <v>16</v>
      </c>
      <c r="E138" t="s">
        <v>22</v>
      </c>
      <c r="F138" t="s">
        <v>23</v>
      </c>
      <c r="G138">
        <v>2</v>
      </c>
      <c r="H138">
        <v>1299</v>
      </c>
      <c r="I138">
        <v>2598</v>
      </c>
    </row>
    <row r="139" spans="1:9" ht="15" x14ac:dyDescent="0.2">
      <c r="A139" s="1">
        <v>46185</v>
      </c>
      <c r="B139" t="s">
        <v>173</v>
      </c>
      <c r="C139" t="s">
        <v>60</v>
      </c>
      <c r="D139" t="s">
        <v>16</v>
      </c>
      <c r="E139" t="s">
        <v>17</v>
      </c>
      <c r="F139" t="s">
        <v>18</v>
      </c>
      <c r="G139">
        <v>1</v>
      </c>
      <c r="H139">
        <v>1599</v>
      </c>
      <c r="I139">
        <v>1599</v>
      </c>
    </row>
    <row r="140" spans="1:9" ht="15" x14ac:dyDescent="0.2">
      <c r="A140" s="1">
        <v>46185</v>
      </c>
      <c r="B140" t="s">
        <v>174</v>
      </c>
      <c r="C140" t="s">
        <v>25</v>
      </c>
      <c r="D140" t="s">
        <v>16</v>
      </c>
      <c r="E140" t="s">
        <v>27</v>
      </c>
      <c r="F140" t="s">
        <v>23</v>
      </c>
      <c r="G140">
        <v>5</v>
      </c>
      <c r="H140">
        <v>499</v>
      </c>
      <c r="I140">
        <v>2495</v>
      </c>
    </row>
    <row r="141" spans="1:9" ht="15" x14ac:dyDescent="0.2">
      <c r="A141" s="1">
        <v>46186</v>
      </c>
      <c r="B141" t="s">
        <v>175</v>
      </c>
      <c r="C141" t="s">
        <v>30</v>
      </c>
      <c r="D141" t="s">
        <v>49</v>
      </c>
      <c r="E141" t="s">
        <v>31</v>
      </c>
      <c r="F141" t="s">
        <v>32</v>
      </c>
      <c r="G141">
        <v>1</v>
      </c>
      <c r="H141">
        <v>2499</v>
      </c>
      <c r="I141">
        <v>2499</v>
      </c>
    </row>
    <row r="142" spans="1:9" ht="15" x14ac:dyDescent="0.2">
      <c r="A142" s="1">
        <v>46187</v>
      </c>
      <c r="B142" t="s">
        <v>176</v>
      </c>
      <c r="C142" t="s">
        <v>42</v>
      </c>
      <c r="D142" t="s">
        <v>16</v>
      </c>
      <c r="E142" t="s">
        <v>40</v>
      </c>
      <c r="F142" t="s">
        <v>18</v>
      </c>
      <c r="G142">
        <v>1</v>
      </c>
      <c r="H142">
        <v>899</v>
      </c>
      <c r="I142">
        <v>899</v>
      </c>
    </row>
    <row r="143" spans="1:9" ht="15" x14ac:dyDescent="0.2">
      <c r="A143" s="1">
        <v>46188</v>
      </c>
      <c r="B143" t="s">
        <v>177</v>
      </c>
      <c r="C143" t="s">
        <v>20</v>
      </c>
      <c r="D143" t="s">
        <v>26</v>
      </c>
      <c r="E143" t="s">
        <v>17</v>
      </c>
      <c r="F143" t="s">
        <v>18</v>
      </c>
      <c r="G143">
        <v>1</v>
      </c>
      <c r="H143">
        <v>1599</v>
      </c>
      <c r="I143">
        <v>1599</v>
      </c>
    </row>
    <row r="144" spans="1:9" ht="15" x14ac:dyDescent="0.2">
      <c r="A144" s="1">
        <v>46188</v>
      </c>
      <c r="B144" t="s">
        <v>178</v>
      </c>
      <c r="C144" t="s">
        <v>20</v>
      </c>
      <c r="D144" t="s">
        <v>49</v>
      </c>
      <c r="E144" t="s">
        <v>35</v>
      </c>
      <c r="F144" t="s">
        <v>32</v>
      </c>
      <c r="G144">
        <v>1</v>
      </c>
      <c r="H144">
        <v>1899</v>
      </c>
      <c r="I144">
        <f>G144*H144</f>
        <v>1899</v>
      </c>
    </row>
    <row r="145" spans="1:10" ht="15" x14ac:dyDescent="0.2">
      <c r="A145" s="1">
        <v>46188</v>
      </c>
      <c r="B145" t="s">
        <v>179</v>
      </c>
      <c r="C145" t="s">
        <v>30</v>
      </c>
      <c r="D145" t="s">
        <v>45</v>
      </c>
      <c r="E145" t="s">
        <v>22</v>
      </c>
      <c r="F145" t="s">
        <v>23</v>
      </c>
      <c r="G145">
        <v>3</v>
      </c>
      <c r="H145">
        <v>1299</v>
      </c>
      <c r="I145">
        <v>3897</v>
      </c>
    </row>
    <row r="146" spans="1:10" ht="15" x14ac:dyDescent="0.2">
      <c r="A146" s="1">
        <v>46189</v>
      </c>
      <c r="B146" t="s">
        <v>180</v>
      </c>
      <c r="C146" t="s">
        <v>25</v>
      </c>
      <c r="D146" t="s">
        <v>49</v>
      </c>
      <c r="E146" t="s">
        <v>22</v>
      </c>
      <c r="F146" t="s">
        <v>23</v>
      </c>
      <c r="G146">
        <v>2</v>
      </c>
      <c r="H146">
        <v>1299</v>
      </c>
      <c r="I146">
        <v>2598</v>
      </c>
    </row>
    <row r="147" spans="1:10" ht="15" x14ac:dyDescent="0.2">
      <c r="A147" s="1">
        <v>46189</v>
      </c>
      <c r="B147" t="s">
        <v>181</v>
      </c>
      <c r="C147" t="s">
        <v>30</v>
      </c>
      <c r="D147" t="s">
        <v>49</v>
      </c>
      <c r="E147" t="s">
        <v>35</v>
      </c>
      <c r="F147" t="s">
        <v>32</v>
      </c>
      <c r="G147">
        <v>1</v>
      </c>
      <c r="H147">
        <v>1899</v>
      </c>
      <c r="I147">
        <v>1899</v>
      </c>
    </row>
    <row r="148" spans="1:10" ht="15" x14ac:dyDescent="0.2">
      <c r="A148" s="1">
        <v>46190</v>
      </c>
      <c r="B148" t="s">
        <v>182</v>
      </c>
      <c r="C148" t="s">
        <v>25</v>
      </c>
      <c r="D148" t="s">
        <v>45</v>
      </c>
      <c r="E148" t="s">
        <v>35</v>
      </c>
      <c r="F148" t="s">
        <v>32</v>
      </c>
      <c r="G148">
        <v>1</v>
      </c>
      <c r="H148">
        <v>1899</v>
      </c>
      <c r="I148">
        <v>1899</v>
      </c>
    </row>
    <row r="149" spans="1:10" ht="15" x14ac:dyDescent="0.2">
      <c r="A149" s="1">
        <v>46190</v>
      </c>
      <c r="B149" t="s">
        <v>183</v>
      </c>
      <c r="C149" t="s">
        <v>42</v>
      </c>
      <c r="D149" t="s">
        <v>16</v>
      </c>
      <c r="E149" t="s">
        <v>35</v>
      </c>
      <c r="F149" t="s">
        <v>32</v>
      </c>
      <c r="G149">
        <v>2</v>
      </c>
      <c r="H149">
        <v>1899</v>
      </c>
      <c r="I149">
        <v>3798</v>
      </c>
    </row>
    <row r="150" spans="1:10" ht="15" x14ac:dyDescent="0.2">
      <c r="A150" s="1">
        <v>46190</v>
      </c>
      <c r="B150" t="s">
        <v>184</v>
      </c>
      <c r="C150" t="s">
        <v>42</v>
      </c>
      <c r="D150" t="s">
        <v>45</v>
      </c>
      <c r="E150" t="s">
        <v>40</v>
      </c>
      <c r="F150" t="s">
        <v>18</v>
      </c>
      <c r="G150">
        <v>1</v>
      </c>
      <c r="H150">
        <v>899</v>
      </c>
      <c r="I150">
        <v>899</v>
      </c>
    </row>
    <row r="151" spans="1:10" ht="15" x14ac:dyDescent="0.2">
      <c r="A151" s="1">
        <v>46191</v>
      </c>
      <c r="B151" t="s">
        <v>185</v>
      </c>
      <c r="C151" t="s">
        <v>42</v>
      </c>
      <c r="D151" t="s">
        <v>45</v>
      </c>
      <c r="E151" t="s">
        <v>27</v>
      </c>
      <c r="F151" t="s">
        <v>23</v>
      </c>
      <c r="G151">
        <v>1</v>
      </c>
      <c r="H151">
        <v>499</v>
      </c>
      <c r="I151">
        <v>499</v>
      </c>
    </row>
    <row r="152" spans="1:10" ht="15" x14ac:dyDescent="0.2">
      <c r="A152" s="1">
        <v>46191</v>
      </c>
      <c r="B152" t="s">
        <v>186</v>
      </c>
      <c r="C152" t="s">
        <v>60</v>
      </c>
      <c r="D152" t="s">
        <v>49</v>
      </c>
      <c r="E152" t="s">
        <v>17</v>
      </c>
      <c r="F152" t="s">
        <v>18</v>
      </c>
      <c r="G152">
        <v>1</v>
      </c>
      <c r="H152">
        <v>1599</v>
      </c>
      <c r="I152">
        <v>1599</v>
      </c>
    </row>
    <row r="153" spans="1:10" ht="15" x14ac:dyDescent="0.2">
      <c r="A153" s="1">
        <v>46192</v>
      </c>
      <c r="B153" t="s">
        <v>187</v>
      </c>
      <c r="C153" t="s">
        <v>15</v>
      </c>
      <c r="D153" t="s">
        <v>45</v>
      </c>
      <c r="E153" t="s">
        <v>31</v>
      </c>
      <c r="F153" t="s">
        <v>32</v>
      </c>
      <c r="G153">
        <v>2</v>
      </c>
      <c r="H153">
        <v>2499</v>
      </c>
      <c r="I153">
        <v>4998</v>
      </c>
      <c r="J153" t="s">
        <v>33</v>
      </c>
    </row>
    <row r="154" spans="1:10" ht="15" x14ac:dyDescent="0.2">
      <c r="A154" s="1">
        <v>46192</v>
      </c>
      <c r="B154" t="s">
        <v>188</v>
      </c>
      <c r="C154" t="s">
        <v>42</v>
      </c>
      <c r="D154" t="s">
        <v>16</v>
      </c>
      <c r="E154" t="s">
        <v>31</v>
      </c>
      <c r="F154" t="s">
        <v>32</v>
      </c>
      <c r="G154">
        <v>1</v>
      </c>
      <c r="H154">
        <v>2499</v>
      </c>
      <c r="I154">
        <v>2499</v>
      </c>
    </row>
    <row r="155" spans="1:10" ht="15" x14ac:dyDescent="0.2">
      <c r="A155" s="1">
        <v>46192</v>
      </c>
      <c r="B155" t="s">
        <v>189</v>
      </c>
      <c r="C155" t="s">
        <v>30</v>
      </c>
      <c r="D155" t="s">
        <v>21</v>
      </c>
      <c r="E155" t="s">
        <v>31</v>
      </c>
      <c r="F155" t="s">
        <v>32</v>
      </c>
      <c r="G155">
        <v>1</v>
      </c>
      <c r="H155">
        <v>2499</v>
      </c>
      <c r="I155">
        <v>2499</v>
      </c>
    </row>
    <row r="156" spans="1:10" ht="15" x14ac:dyDescent="0.2">
      <c r="A156" s="1">
        <v>46193</v>
      </c>
      <c r="B156" t="s">
        <v>190</v>
      </c>
      <c r="C156" t="s">
        <v>60</v>
      </c>
      <c r="D156" t="s">
        <v>21</v>
      </c>
      <c r="E156" t="s">
        <v>17</v>
      </c>
      <c r="F156" t="s">
        <v>18</v>
      </c>
      <c r="G156">
        <v>1</v>
      </c>
      <c r="H156">
        <v>1599</v>
      </c>
      <c r="I156">
        <v>1599</v>
      </c>
    </row>
    <row r="157" spans="1:10" ht="15" x14ac:dyDescent="0.2">
      <c r="A157" s="1">
        <v>46193</v>
      </c>
      <c r="B157" t="s">
        <v>191</v>
      </c>
      <c r="C157" t="s">
        <v>15</v>
      </c>
      <c r="D157" t="s">
        <v>26</v>
      </c>
      <c r="E157" t="s">
        <v>35</v>
      </c>
      <c r="F157" t="s">
        <v>32</v>
      </c>
      <c r="G157">
        <v>3</v>
      </c>
      <c r="H157">
        <v>1899</v>
      </c>
      <c r="I157">
        <v>5697</v>
      </c>
    </row>
    <row r="158" spans="1:10" ht="15" x14ac:dyDescent="0.2">
      <c r="A158" s="1">
        <v>46193</v>
      </c>
      <c r="B158" t="s">
        <v>192</v>
      </c>
      <c r="C158" t="s">
        <v>15</v>
      </c>
      <c r="D158" t="s">
        <v>45</v>
      </c>
      <c r="E158" t="s">
        <v>40</v>
      </c>
      <c r="F158" t="s">
        <v>18</v>
      </c>
      <c r="G158">
        <v>1</v>
      </c>
      <c r="H158">
        <v>899</v>
      </c>
      <c r="I158">
        <v>899</v>
      </c>
    </row>
    <row r="159" spans="1:10" ht="15" x14ac:dyDescent="0.2">
      <c r="A159" s="1">
        <v>46193</v>
      </c>
      <c r="B159" t="s">
        <v>193</v>
      </c>
      <c r="C159" t="s">
        <v>25</v>
      </c>
      <c r="D159" t="s">
        <v>21</v>
      </c>
      <c r="E159" t="s">
        <v>17</v>
      </c>
      <c r="F159" t="s">
        <v>18</v>
      </c>
      <c r="G159">
        <v>1</v>
      </c>
      <c r="H159">
        <v>1599</v>
      </c>
      <c r="I159">
        <v>1599</v>
      </c>
    </row>
    <row r="160" spans="1:10" ht="15" x14ac:dyDescent="0.2">
      <c r="A160" s="1">
        <v>46193</v>
      </c>
      <c r="B160" t="s">
        <v>194</v>
      </c>
      <c r="C160" t="s">
        <v>25</v>
      </c>
      <c r="D160" t="s">
        <v>26</v>
      </c>
      <c r="E160" t="s">
        <v>22</v>
      </c>
      <c r="F160" t="s">
        <v>23</v>
      </c>
      <c r="G160">
        <v>1</v>
      </c>
      <c r="H160">
        <v>1299</v>
      </c>
      <c r="I160">
        <v>1299</v>
      </c>
      <c r="J160" t="s">
        <v>47</v>
      </c>
    </row>
    <row r="161" spans="1:9" ht="15" x14ac:dyDescent="0.2">
      <c r="A161" s="1">
        <v>46194</v>
      </c>
      <c r="B161" t="s">
        <v>195</v>
      </c>
      <c r="C161" t="s">
        <v>15</v>
      </c>
      <c r="D161" t="s">
        <v>21</v>
      </c>
      <c r="E161" t="s">
        <v>22</v>
      </c>
      <c r="F161" t="s">
        <v>23</v>
      </c>
      <c r="G161">
        <v>2</v>
      </c>
      <c r="H161">
        <v>1299</v>
      </c>
      <c r="I161">
        <v>2598</v>
      </c>
    </row>
    <row r="162" spans="1:9" ht="15" x14ac:dyDescent="0.2">
      <c r="A162" s="1">
        <v>46194</v>
      </c>
      <c r="B162" t="s">
        <v>196</v>
      </c>
      <c r="C162" t="s">
        <v>25</v>
      </c>
      <c r="D162" t="s">
        <v>49</v>
      </c>
      <c r="E162" t="s">
        <v>40</v>
      </c>
      <c r="F162" t="s">
        <v>18</v>
      </c>
      <c r="G162">
        <v>1</v>
      </c>
      <c r="H162">
        <v>899</v>
      </c>
      <c r="I162">
        <v>899</v>
      </c>
    </row>
    <row r="163" spans="1:9" ht="15" x14ac:dyDescent="0.2">
      <c r="A163" s="1">
        <v>46194</v>
      </c>
      <c r="B163" t="s">
        <v>197</v>
      </c>
      <c r="C163" t="s">
        <v>15</v>
      </c>
      <c r="D163" t="s">
        <v>21</v>
      </c>
      <c r="E163" t="s">
        <v>22</v>
      </c>
      <c r="F163" t="s">
        <v>23</v>
      </c>
      <c r="G163">
        <v>1</v>
      </c>
      <c r="H163">
        <v>1299</v>
      </c>
      <c r="I163">
        <v>1299</v>
      </c>
    </row>
    <row r="164" spans="1:9" ht="15" x14ac:dyDescent="0.2">
      <c r="A164" s="1">
        <v>46195</v>
      </c>
      <c r="B164" t="s">
        <v>198</v>
      </c>
      <c r="C164" t="s">
        <v>20</v>
      </c>
      <c r="D164" t="s">
        <v>45</v>
      </c>
      <c r="E164" t="s">
        <v>35</v>
      </c>
      <c r="F164" t="s">
        <v>32</v>
      </c>
      <c r="G164">
        <v>5</v>
      </c>
      <c r="H164">
        <v>1899</v>
      </c>
      <c r="I164">
        <v>9495</v>
      </c>
    </row>
    <row r="165" spans="1:9" ht="15" x14ac:dyDescent="0.2">
      <c r="A165" s="1">
        <v>46196</v>
      </c>
      <c r="B165" t="s">
        <v>199</v>
      </c>
      <c r="C165" t="s">
        <v>30</v>
      </c>
      <c r="D165" t="s">
        <v>49</v>
      </c>
      <c r="E165" t="s">
        <v>31</v>
      </c>
      <c r="F165" t="s">
        <v>32</v>
      </c>
      <c r="G165">
        <v>1</v>
      </c>
      <c r="H165">
        <v>2499</v>
      </c>
      <c r="I165">
        <v>2499</v>
      </c>
    </row>
    <row r="166" spans="1:9" ht="15" x14ac:dyDescent="0.2">
      <c r="A166" s="1">
        <v>46196</v>
      </c>
      <c r="B166" t="s">
        <v>200</v>
      </c>
      <c r="C166" t="s">
        <v>20</v>
      </c>
      <c r="D166" t="s">
        <v>16</v>
      </c>
      <c r="E166" t="s">
        <v>17</v>
      </c>
      <c r="F166" t="s">
        <v>18</v>
      </c>
      <c r="G166">
        <v>5</v>
      </c>
      <c r="H166">
        <v>1599</v>
      </c>
      <c r="I166">
        <v>7995</v>
      </c>
    </row>
    <row r="167" spans="1:9" ht="15" x14ac:dyDescent="0.2">
      <c r="A167" s="1">
        <v>46197</v>
      </c>
      <c r="B167" t="s">
        <v>201</v>
      </c>
      <c r="C167" t="s">
        <v>25</v>
      </c>
      <c r="D167" t="s">
        <v>16</v>
      </c>
      <c r="E167" t="s">
        <v>22</v>
      </c>
      <c r="F167" t="s">
        <v>23</v>
      </c>
      <c r="G167">
        <v>1</v>
      </c>
      <c r="H167">
        <v>1299</v>
      </c>
      <c r="I167">
        <f>G167*H167</f>
        <v>1299</v>
      </c>
    </row>
    <row r="168" spans="1:9" ht="15" x14ac:dyDescent="0.2">
      <c r="A168" s="1">
        <v>46197</v>
      </c>
      <c r="B168" t="s">
        <v>202</v>
      </c>
      <c r="C168" t="s">
        <v>15</v>
      </c>
      <c r="D168" t="s">
        <v>45</v>
      </c>
      <c r="E168" t="s">
        <v>35</v>
      </c>
      <c r="F168" t="s">
        <v>32</v>
      </c>
      <c r="G168">
        <v>3</v>
      </c>
      <c r="H168">
        <v>1899</v>
      </c>
      <c r="I168">
        <v>5697</v>
      </c>
    </row>
    <row r="169" spans="1:9" ht="15" x14ac:dyDescent="0.2">
      <c r="A169" s="1">
        <v>46197</v>
      </c>
      <c r="B169" t="s">
        <v>203</v>
      </c>
      <c r="C169" t="s">
        <v>30</v>
      </c>
      <c r="D169" t="s">
        <v>26</v>
      </c>
      <c r="E169" t="s">
        <v>35</v>
      </c>
      <c r="F169" t="s">
        <v>32</v>
      </c>
      <c r="G169">
        <v>1</v>
      </c>
      <c r="H169">
        <v>1899</v>
      </c>
      <c r="I169">
        <v>1899</v>
      </c>
    </row>
    <row r="170" spans="1:9" ht="15" x14ac:dyDescent="0.2">
      <c r="A170" s="1">
        <v>46198</v>
      </c>
      <c r="B170" t="s">
        <v>204</v>
      </c>
      <c r="C170" t="s">
        <v>20</v>
      </c>
      <c r="D170" t="s">
        <v>16</v>
      </c>
      <c r="E170" t="s">
        <v>17</v>
      </c>
      <c r="F170" t="s">
        <v>18</v>
      </c>
      <c r="G170">
        <v>2</v>
      </c>
      <c r="H170">
        <v>1599</v>
      </c>
      <c r="I170">
        <v>3198</v>
      </c>
    </row>
    <row r="171" spans="1:9" ht="15" x14ac:dyDescent="0.2">
      <c r="A171" s="1">
        <v>46198</v>
      </c>
      <c r="B171" t="s">
        <v>205</v>
      </c>
      <c r="C171" t="s">
        <v>30</v>
      </c>
      <c r="D171" t="s">
        <v>26</v>
      </c>
      <c r="E171" t="s">
        <v>27</v>
      </c>
      <c r="F171" t="s">
        <v>23</v>
      </c>
      <c r="G171">
        <v>1</v>
      </c>
      <c r="H171">
        <v>499</v>
      </c>
      <c r="I171">
        <v>499</v>
      </c>
    </row>
    <row r="172" spans="1:9" ht="15" x14ac:dyDescent="0.2">
      <c r="A172" s="1">
        <v>46198</v>
      </c>
      <c r="B172" t="s">
        <v>206</v>
      </c>
      <c r="C172" t="s">
        <v>30</v>
      </c>
      <c r="D172" t="s">
        <v>49</v>
      </c>
      <c r="E172" t="s">
        <v>27</v>
      </c>
      <c r="F172" t="s">
        <v>23</v>
      </c>
      <c r="G172">
        <v>1</v>
      </c>
      <c r="H172">
        <v>499</v>
      </c>
      <c r="I172">
        <v>499</v>
      </c>
    </row>
    <row r="173" spans="1:9" ht="15" x14ac:dyDescent="0.2">
      <c r="A173" s="1">
        <v>46199</v>
      </c>
      <c r="B173" t="s">
        <v>207</v>
      </c>
      <c r="C173" t="s">
        <v>15</v>
      </c>
      <c r="D173" t="s">
        <v>49</v>
      </c>
      <c r="E173" t="s">
        <v>22</v>
      </c>
      <c r="F173" t="s">
        <v>23</v>
      </c>
      <c r="G173">
        <v>1</v>
      </c>
      <c r="H173">
        <v>1299</v>
      </c>
      <c r="I173">
        <v>1299</v>
      </c>
    </row>
    <row r="174" spans="1:9" ht="15" x14ac:dyDescent="0.2">
      <c r="A174" s="1">
        <v>46199</v>
      </c>
      <c r="B174" t="s">
        <v>208</v>
      </c>
      <c r="C174" t="s">
        <v>30</v>
      </c>
      <c r="D174" t="s">
        <v>26</v>
      </c>
      <c r="E174" t="s">
        <v>35</v>
      </c>
      <c r="F174" t="s">
        <v>32</v>
      </c>
      <c r="G174">
        <v>2</v>
      </c>
      <c r="H174">
        <v>1899</v>
      </c>
      <c r="I174">
        <v>3798</v>
      </c>
    </row>
    <row r="175" spans="1:9" ht="15" x14ac:dyDescent="0.2">
      <c r="A175" s="1">
        <v>46200</v>
      </c>
      <c r="B175" t="s">
        <v>209</v>
      </c>
      <c r="C175" t="s">
        <v>20</v>
      </c>
      <c r="D175" t="s">
        <v>49</v>
      </c>
      <c r="E175" t="s">
        <v>17</v>
      </c>
      <c r="F175" t="s">
        <v>18</v>
      </c>
      <c r="G175">
        <v>1</v>
      </c>
      <c r="H175">
        <v>1599</v>
      </c>
      <c r="I175">
        <f>G175*H175</f>
        <v>1599</v>
      </c>
    </row>
    <row r="176" spans="1:9" ht="15" x14ac:dyDescent="0.2">
      <c r="A176" s="1">
        <v>46200</v>
      </c>
      <c r="B176" t="s">
        <v>210</v>
      </c>
      <c r="C176" t="s">
        <v>25</v>
      </c>
      <c r="D176" t="s">
        <v>21</v>
      </c>
      <c r="E176" t="s">
        <v>17</v>
      </c>
      <c r="F176" t="s">
        <v>18</v>
      </c>
      <c r="G176">
        <v>1</v>
      </c>
      <c r="H176">
        <v>1599</v>
      </c>
      <c r="I176">
        <v>1599</v>
      </c>
    </row>
    <row r="177" spans="1:9" ht="15" x14ac:dyDescent="0.2">
      <c r="A177" s="1">
        <v>46200</v>
      </c>
      <c r="B177" t="s">
        <v>211</v>
      </c>
      <c r="C177" t="s">
        <v>42</v>
      </c>
      <c r="D177" t="s">
        <v>26</v>
      </c>
      <c r="E177" t="s">
        <v>22</v>
      </c>
      <c r="F177" t="s">
        <v>23</v>
      </c>
      <c r="G177">
        <v>1</v>
      </c>
      <c r="H177">
        <v>1299</v>
      </c>
      <c r="I177">
        <v>1299</v>
      </c>
    </row>
    <row r="178" spans="1:9" ht="15" x14ac:dyDescent="0.2">
      <c r="A178" s="1">
        <v>46202</v>
      </c>
      <c r="B178" t="s">
        <v>212</v>
      </c>
      <c r="C178" t="s">
        <v>20</v>
      </c>
      <c r="D178" t="s">
        <v>49</v>
      </c>
      <c r="E178" t="s">
        <v>17</v>
      </c>
      <c r="F178" t="s">
        <v>18</v>
      </c>
      <c r="G178">
        <v>1</v>
      </c>
      <c r="H178">
        <v>1599</v>
      </c>
      <c r="I178">
        <v>1599</v>
      </c>
    </row>
    <row r="179" spans="1:9" ht="15" x14ac:dyDescent="0.2">
      <c r="A179" s="1">
        <v>46202</v>
      </c>
      <c r="B179" t="s">
        <v>213</v>
      </c>
      <c r="C179" t="s">
        <v>42</v>
      </c>
      <c r="D179" t="s">
        <v>16</v>
      </c>
      <c r="E179" t="s">
        <v>40</v>
      </c>
      <c r="F179" t="s">
        <v>18</v>
      </c>
      <c r="G179">
        <v>1</v>
      </c>
      <c r="H179">
        <v>899</v>
      </c>
      <c r="I179">
        <v>899</v>
      </c>
    </row>
    <row r="180" spans="1:9" ht="15" x14ac:dyDescent="0.2">
      <c r="A180" s="1">
        <v>46202</v>
      </c>
      <c r="B180" t="s">
        <v>214</v>
      </c>
      <c r="C180" t="s">
        <v>42</v>
      </c>
      <c r="D180" t="s">
        <v>45</v>
      </c>
      <c r="E180" t="s">
        <v>35</v>
      </c>
      <c r="F180" t="s">
        <v>32</v>
      </c>
      <c r="G180">
        <v>1</v>
      </c>
      <c r="H180">
        <v>1899</v>
      </c>
      <c r="I180">
        <v>1899</v>
      </c>
    </row>
    <row r="181" spans="1:9" ht="15" x14ac:dyDescent="0.2">
      <c r="A181" s="1">
        <v>46203</v>
      </c>
      <c r="B181" t="s">
        <v>215</v>
      </c>
      <c r="C181" t="s">
        <v>60</v>
      </c>
      <c r="D181" t="s">
        <v>45</v>
      </c>
      <c r="E181" t="s">
        <v>35</v>
      </c>
      <c r="F181" t="s">
        <v>32</v>
      </c>
      <c r="G181">
        <v>1</v>
      </c>
      <c r="H181">
        <v>1899</v>
      </c>
      <c r="I181">
        <v>1899</v>
      </c>
    </row>
  </sheetData>
  <phoneticPr fontId="7" type="noConversion"/>
  <conditionalFormatting sqref="I2:I181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{222E2501-9413-4A53-ABD7-CF3280251DFA}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2E2501-9413-4A53-ABD7-CF3280251DFA}">
            <x14:dataBar minLength="0" maxLength="100">
              <x14:cfvo type="autoMin"/>
              <x14:cfvo type="autoMax"/>
              <x14:negativeFillColor rgb="FF4472C4"/>
              <x14:axisColor rgb="FFFF0000"/>
            </x14:dataBar>
          </x14:cfRule>
          <xm:sqref>I2:I181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="274" workbookViewId="0"/>
  </sheetViews>
  <sheetFormatPr baseColWidth="10" defaultRowHeight="16" x14ac:dyDescent="0.2"/>
  <cols>
    <col min="1" max="1" width="13.1640625" bestFit="1" customWidth="1"/>
  </cols>
  <sheetData>
    <row r="1" spans="1:5" ht="15" x14ac:dyDescent="0.2">
      <c r="A1" t="s">
        <v>216</v>
      </c>
      <c r="B1" t="s">
        <v>9</v>
      </c>
    </row>
    <row r="2" spans="1:5" ht="15" x14ac:dyDescent="0.2">
      <c r="A2" t="s">
        <v>6</v>
      </c>
      <c r="B2" t="s">
        <v>32</v>
      </c>
      <c r="C2" t="s">
        <v>18</v>
      </c>
      <c r="D2" t="s">
        <v>23</v>
      </c>
      <c r="E2" t="s">
        <v>217</v>
      </c>
    </row>
    <row r="3" spans="1:5" ht="15" x14ac:dyDescent="0.2">
      <c r="A3" t="s">
        <v>15</v>
      </c>
      <c r="B3">
        <v>54174</v>
      </c>
      <c r="C3">
        <v>8194</v>
      </c>
      <c r="D3">
        <v>11889</v>
      </c>
      <c r="E3">
        <v>74257</v>
      </c>
    </row>
    <row r="4" spans="1:5" ht="15" x14ac:dyDescent="0.2">
      <c r="A4" t="s">
        <v>42</v>
      </c>
      <c r="B4">
        <v>35982</v>
      </c>
      <c r="C4">
        <v>7693</v>
      </c>
      <c r="D4">
        <v>18978</v>
      </c>
      <c r="E4">
        <v>62653</v>
      </c>
    </row>
    <row r="5" spans="1:5" ht="15" x14ac:dyDescent="0.2">
      <c r="A5" t="s">
        <v>60</v>
      </c>
      <c r="B5">
        <v>23289</v>
      </c>
      <c r="C5">
        <v>15187</v>
      </c>
      <c r="D5">
        <v>11588</v>
      </c>
      <c r="E5">
        <v>50064</v>
      </c>
    </row>
    <row r="6" spans="1:5" ht="15" x14ac:dyDescent="0.2">
      <c r="A6" t="s">
        <v>30</v>
      </c>
      <c r="B6">
        <v>39681</v>
      </c>
      <c r="C6">
        <v>11989</v>
      </c>
      <c r="D6">
        <v>18384</v>
      </c>
      <c r="E6">
        <v>70054</v>
      </c>
    </row>
    <row r="7" spans="1:5" ht="15" x14ac:dyDescent="0.2">
      <c r="A7" t="s">
        <v>25</v>
      </c>
      <c r="B7">
        <v>39081</v>
      </c>
      <c r="C7">
        <v>16388</v>
      </c>
      <c r="D7">
        <v>16879</v>
      </c>
      <c r="E7">
        <v>72348</v>
      </c>
    </row>
    <row r="8" spans="1:5" ht="15" x14ac:dyDescent="0.2">
      <c r="A8" t="s">
        <v>20</v>
      </c>
      <c r="B8">
        <v>42978</v>
      </c>
      <c r="C8">
        <v>32776</v>
      </c>
      <c r="D8">
        <v>10788</v>
      </c>
      <c r="E8">
        <v>86542</v>
      </c>
    </row>
    <row r="9" spans="1:5" ht="15" x14ac:dyDescent="0.2">
      <c r="A9" t="s">
        <v>217</v>
      </c>
      <c r="B9">
        <v>235185</v>
      </c>
      <c r="C9">
        <v>92227</v>
      </c>
      <c r="D9">
        <v>88506</v>
      </c>
      <c r="E9">
        <v>415918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zoomScale="210" workbookViewId="0"/>
  </sheetViews>
  <sheetFormatPr baseColWidth="10" defaultRowHeight="16" x14ac:dyDescent="0.2"/>
  <sheetData>
    <row r="1" spans="1:8" ht="15" x14ac:dyDescent="0.2">
      <c r="A1" s="2" t="s">
        <v>218</v>
      </c>
      <c r="B1" s="2" t="s">
        <v>12</v>
      </c>
      <c r="C1" s="2"/>
      <c r="D1" s="2" t="s">
        <v>219</v>
      </c>
      <c r="E1" s="2" t="s">
        <v>12</v>
      </c>
      <c r="F1" s="2"/>
      <c r="G1" s="2" t="s">
        <v>9</v>
      </c>
      <c r="H1" s="2" t="s">
        <v>12</v>
      </c>
    </row>
    <row r="2" spans="1:8" ht="15" x14ac:dyDescent="0.2">
      <c r="A2" t="s">
        <v>220</v>
      </c>
      <c r="B2" s="3">
        <f>SUMPRODUCT((MONTH(Sheet1!$A$2:$A$181)=4)*Sheet1!$I$2:$I$181)</f>
        <v>126619</v>
      </c>
      <c r="D2" t="s">
        <v>16</v>
      </c>
      <c r="E2" s="3">
        <f>SUMIF(Sheet1!$D$2:$D$181,D2,Sheet1!$I$2:$I$181)</f>
        <v>103624</v>
      </c>
      <c r="G2" t="s">
        <v>32</v>
      </c>
      <c r="H2" s="3">
        <f>SUMIF(Sheet1!$F$2:$F$181,G2,Sheet1!$I$2:$I$181)</f>
        <v>235185</v>
      </c>
    </row>
    <row r="3" spans="1:8" ht="15" x14ac:dyDescent="0.2">
      <c r="A3" t="s">
        <v>221</v>
      </c>
      <c r="B3" s="3">
        <f>SUMPRODUCT((MONTH(Sheet1!$A$2:$A$181)=5)*Sheet1!$I$2:$I$181)</f>
        <v>136305</v>
      </c>
      <c r="D3" t="s">
        <v>21</v>
      </c>
      <c r="E3" s="3">
        <f>SUMIF(Sheet1!$D$2:$D$181,D3,Sheet1!$I$2:$I$181)</f>
        <v>67155</v>
      </c>
      <c r="G3" t="s">
        <v>18</v>
      </c>
      <c r="H3" s="3">
        <f>SUMIF(Sheet1!$F$2:$F$181,G3,Sheet1!$I$2:$I$181)</f>
        <v>92227</v>
      </c>
    </row>
    <row r="4" spans="1:8" ht="15" x14ac:dyDescent="0.2">
      <c r="A4" t="s">
        <v>222</v>
      </c>
      <c r="B4" s="3">
        <f>SUMPRODUCT((MONTH(Sheet1!$A$2:$A$181)=6)*Sheet1!$I$2:$I$181)</f>
        <v>152994</v>
      </c>
      <c r="D4" t="s">
        <v>26</v>
      </c>
      <c r="E4" s="3">
        <f>SUMIF(Sheet1!$D$2:$D$181,D4,Sheet1!$I$2:$I$181)</f>
        <v>81839</v>
      </c>
      <c r="G4" t="s">
        <v>23</v>
      </c>
      <c r="H4" s="3">
        <f>SUMIF(Sheet1!$F$2:$F$181,G4,Sheet1!$I$2:$I$181)</f>
        <v>88506</v>
      </c>
    </row>
    <row r="5" spans="1:8" ht="15" x14ac:dyDescent="0.2">
      <c r="D5" t="s">
        <v>49</v>
      </c>
      <c r="E5" s="3">
        <f>SUMIF(Sheet1!$D$2:$D$181,D5,Sheet1!$I$2:$I$181)</f>
        <v>70956</v>
      </c>
    </row>
    <row r="6" spans="1:8" ht="15" x14ac:dyDescent="0.2">
      <c r="D6" t="s">
        <v>45</v>
      </c>
      <c r="E6" s="3">
        <f>SUMIF(Sheet1!$D$2:$D$181,D6,Sheet1!$I$2:$I$181)</f>
        <v>92344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tabSelected="1" zoomScale="125" workbookViewId="0">
      <selection activeCell="J30" sqref="J30"/>
    </sheetView>
  </sheetViews>
  <sheetFormatPr baseColWidth="10" defaultRowHeight="16" x14ac:dyDescent="0.2"/>
  <cols>
    <col min="1" max="1" width="28.6640625" bestFit="1" customWidth="1"/>
    <col min="2" max="2" width="6" customWidth="1"/>
    <col min="3" max="3" width="22" customWidth="1"/>
    <col min="4" max="4" width="6" customWidth="1"/>
    <col min="5" max="5" width="22" customWidth="1"/>
  </cols>
  <sheetData>
    <row r="1" spans="1:5" ht="26" x14ac:dyDescent="0.3">
      <c r="A1" s="4" t="s">
        <v>0</v>
      </c>
    </row>
    <row r="3" spans="1:5" ht="15" x14ac:dyDescent="0.2">
      <c r="A3" s="5" t="s">
        <v>1</v>
      </c>
      <c r="B3" s="9"/>
      <c r="C3" s="5" t="s">
        <v>2</v>
      </c>
      <c r="D3" s="9"/>
      <c r="E3" s="5" t="s">
        <v>3</v>
      </c>
    </row>
    <row r="4" spans="1:5" ht="31" x14ac:dyDescent="0.35">
      <c r="A4" s="6">
        <f>SUM(Sheet1!I2:I181)</f>
        <v>415918</v>
      </c>
      <c r="B4" s="9"/>
      <c r="C4" s="7">
        <f>COUNTA(Sheet1!B2:B181)</f>
        <v>180</v>
      </c>
      <c r="D4" s="9"/>
      <c r="E4" s="8">
        <f>SUM(Sheet1!I2:I181)/COUNTA(Sheet1!B2:B181)</f>
        <v>2310.6555555555556</v>
      </c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数据透视表</vt:lpstr>
      <vt:lpstr>汇总</vt:lpstr>
      <vt:lpstr>分析看板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YAHA 学堂</cp:lastModifiedBy>
  <dcterms:created xsi:type="dcterms:W3CDTF">2026-07-29T12:34:09Z</dcterms:created>
  <dcterms:modified xsi:type="dcterms:W3CDTF">2026-07-29T14:39:52Z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1.0.143</vt:lpwstr>
  </property>
  <property fmtid="{D5CDD505-2E9C-101B-9397-08002B2CF9AE}" pid="3" name="OfficeCLI.LastModified">
    <vt:lpwstr>2026-07-29T14:30:19Z</vt:lpwstr>
  </property>
</Properties>
</file>